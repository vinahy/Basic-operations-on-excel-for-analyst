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AA52E8C-D891-49BF-A21C-47AA1E09256E}" xr6:coauthVersionLast="47" xr6:coauthVersionMax="47" xr10:uidLastSave="{00000000-0000-0000-0000-000000000000}"/>
  <bookViews>
    <workbookView xWindow="-110" yWindow="-110" windowWidth="19420" windowHeight="11500" xr2:uid="{DEF35721-BD77-4EDD-87B9-B32EE36CDE24}"/>
  </bookViews>
  <sheets>
    <sheet name="Employee" sheetId="1" r:id="rId1"/>
    <sheet name="Business Questions" sheetId="2" r:id="rId2"/>
    <sheet name="Interview 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L20" i="1"/>
  <c r="L13" i="1"/>
  <c r="L22" i="1"/>
  <c r="L7" i="1"/>
  <c r="L16" i="1"/>
  <c r="L6" i="1"/>
  <c r="L18" i="1"/>
  <c r="L15" i="1"/>
  <c r="L8" i="1"/>
  <c r="L21" i="1"/>
  <c r="L12" i="1"/>
  <c r="L4" i="1"/>
  <c r="L17" i="1"/>
  <c r="L14" i="1"/>
  <c r="L9" i="1"/>
  <c r="L5" i="1"/>
  <c r="L19" i="1"/>
  <c r="L10" i="1"/>
  <c r="L3" i="1"/>
  <c r="L11" i="1"/>
  <c r="K13" i="1"/>
  <c r="K22" i="1"/>
  <c r="K7" i="1"/>
  <c r="K16" i="1"/>
  <c r="K6" i="1"/>
  <c r="K18" i="1"/>
  <c r="K15" i="1"/>
  <c r="K8" i="1"/>
  <c r="K21" i="1"/>
  <c r="K12" i="1"/>
  <c r="K4" i="1"/>
  <c r="K17" i="1"/>
  <c r="K14" i="1"/>
  <c r="K9" i="1"/>
  <c r="K5" i="1"/>
  <c r="K19" i="1"/>
  <c r="K10" i="1"/>
  <c r="K3" i="1"/>
  <c r="K11" i="1"/>
  <c r="K20" i="1"/>
  <c r="C13" i="2"/>
  <c r="J11" i="1"/>
  <c r="J3" i="1"/>
  <c r="J10" i="1"/>
  <c r="J19" i="1"/>
  <c r="J5" i="1"/>
  <c r="J9" i="1"/>
  <c r="J14" i="1"/>
  <c r="J17" i="1"/>
  <c r="J4" i="1"/>
  <c r="J12" i="1"/>
  <c r="J21" i="1"/>
  <c r="J8" i="1"/>
  <c r="J15" i="1"/>
  <c r="J18" i="1"/>
  <c r="J6" i="1"/>
  <c r="J16" i="1"/>
  <c r="J7" i="1"/>
  <c r="J22" i="1"/>
  <c r="J13" i="1"/>
  <c r="J20" i="1"/>
  <c r="C12" i="2"/>
  <c r="C19" i="2"/>
  <c r="I13" i="1"/>
  <c r="I22" i="1"/>
  <c r="I7" i="1"/>
  <c r="I16" i="1"/>
  <c r="I6" i="1"/>
  <c r="I18" i="1"/>
  <c r="I15" i="1"/>
  <c r="I8" i="1"/>
  <c r="I21" i="1"/>
  <c r="I12" i="1"/>
  <c r="I4" i="1"/>
  <c r="I17" i="1"/>
  <c r="I14" i="1"/>
  <c r="I9" i="1"/>
  <c r="I5" i="1"/>
  <c r="I19" i="1"/>
  <c r="I10" i="1"/>
  <c r="I3" i="1"/>
  <c r="I11" i="1"/>
  <c r="I20" i="1"/>
  <c r="C17" i="2"/>
  <c r="C15" i="2"/>
  <c r="H22" i="1"/>
  <c r="H7" i="1"/>
  <c r="H16" i="1"/>
  <c r="H6" i="1"/>
  <c r="H18" i="1"/>
  <c r="H15" i="1"/>
  <c r="H8" i="1"/>
  <c r="H21" i="1"/>
  <c r="H12" i="1"/>
  <c r="H4" i="1"/>
  <c r="H17" i="1"/>
  <c r="H14" i="1"/>
  <c r="H9" i="1"/>
  <c r="H5" i="1"/>
  <c r="H19" i="1"/>
  <c r="H10" i="1"/>
  <c r="H3" i="1"/>
  <c r="H11" i="1"/>
  <c r="H13" i="1"/>
  <c r="H20" i="1"/>
  <c r="C14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<sst xmlns="http://schemas.openxmlformats.org/spreadsheetml/2006/main" count="142" uniqueCount="86">
  <si>
    <t>EmpID</t>
  </si>
  <si>
    <t>Name</t>
  </si>
  <si>
    <t>Department</t>
  </si>
  <si>
    <t>Gender</t>
  </si>
  <si>
    <t>Experience</t>
  </si>
  <si>
    <t>Salary</t>
  </si>
  <si>
    <t>Attrition</t>
  </si>
  <si>
    <t>Ravi</t>
  </si>
  <si>
    <t>IT</t>
  </si>
  <si>
    <t>M</t>
  </si>
  <si>
    <t>Yes</t>
  </si>
  <si>
    <t>Sita</t>
  </si>
  <si>
    <t>HR</t>
  </si>
  <si>
    <t>F</t>
  </si>
  <si>
    <t>No</t>
  </si>
  <si>
    <t>John</t>
  </si>
  <si>
    <t>Sales</t>
  </si>
  <si>
    <t>Anita</t>
  </si>
  <si>
    <t>Rajesh</t>
  </si>
  <si>
    <t>Sunil</t>
  </si>
  <si>
    <t>Priya</t>
  </si>
  <si>
    <t>Kiran</t>
  </si>
  <si>
    <t>Deepa</t>
  </si>
  <si>
    <t>Mohan</t>
  </si>
  <si>
    <t>Harish</t>
  </si>
  <si>
    <t>Swathi</t>
  </si>
  <si>
    <t>Arun</t>
  </si>
  <si>
    <t>Latha</t>
  </si>
  <si>
    <t>Venkat</t>
  </si>
  <si>
    <t>Geetha</t>
  </si>
  <si>
    <t>Ramesh</t>
  </si>
  <si>
    <t>Divya</t>
  </si>
  <si>
    <t>Naveen</t>
  </si>
  <si>
    <t>Suresh</t>
  </si>
  <si>
    <t>Business Questions</t>
  </si>
  <si>
    <t>What is the total salary paid to all employees?</t>
  </si>
  <si>
    <t>What is the average salary of employees?</t>
  </si>
  <si>
    <t>What is the highest salary?</t>
  </si>
  <si>
    <t>What is the lowest salary?</t>
  </si>
  <si>
    <t>How many employees are there?</t>
  </si>
  <si>
    <t>How many employees are working in IT?</t>
  </si>
  <si>
    <t>How many employees are working in Sales?</t>
  </si>
  <si>
    <t>What is the total salary of IT employees?</t>
  </si>
  <si>
    <t>What is the total salary of HR employees?</t>
  </si>
  <si>
    <t>What is the average salary of Sales employees?</t>
  </si>
  <si>
    <t>How many employees left the company?</t>
  </si>
  <si>
    <t>How many employees stayed in the company?</t>
  </si>
  <si>
    <t>Calculate attrition status:</t>
  </si>
  <si>
    <t>Employees with experience &gt; 5 years should be marked as Senior.</t>
  </si>
  <si>
    <t>How many employees have more than 5 years experience?</t>
  </si>
  <si>
    <t>Employees earning above ₹50,000 should be marked High Salary.</t>
  </si>
  <si>
    <t>How many employees earn more than ₹50,000?</t>
  </si>
  <si>
    <t>Calculate 10% retention bonus for employees earning more than ₹60,000.</t>
  </si>
  <si>
    <t>Convert employee names into proper case.</t>
  </si>
  <si>
    <t>Extract first 2 letters from employee names.</t>
  </si>
  <si>
    <t>Interview Questions</t>
  </si>
  <si>
    <t>What formula will you use to find the total salary paid to employees?</t>
  </si>
  <si>
    <t>What formula will you use to calculate average employee salary?</t>
  </si>
  <si>
    <t>How will you identify the employee with the highest salary?</t>
  </si>
  <si>
    <t>How will you find the number of employees in the company?</t>
  </si>
  <si>
    <t>How will you count employees in the IT department?</t>
  </si>
  <si>
    <t>HR wants total salary paid to Sales department. Which formula will you use?</t>
  </si>
  <si>
    <t>How will you calculate average salary of HR department?</t>
  </si>
  <si>
    <t>How will you classify employees as High Salary and Low Salary?</t>
  </si>
  <si>
    <t>How will you identify employees with experience greater than 5 years?</t>
  </si>
  <si>
    <t>How will you calculate bonus only for employees earning above ₹50,000?</t>
  </si>
  <si>
    <t>Employee Attrition Data</t>
  </si>
  <si>
    <t>sumif</t>
  </si>
  <si>
    <t xml:space="preserve"> there are 6 people who left the company and there are 14 people in the company and the attrition rate is 30%</t>
  </si>
  <si>
    <t>seniority</t>
  </si>
  <si>
    <t>Mentioned in the table</t>
  </si>
  <si>
    <t>High Salary</t>
  </si>
  <si>
    <t>countif</t>
  </si>
  <si>
    <t>retention bonus</t>
  </si>
  <si>
    <t>Mentioned in table</t>
  </si>
  <si>
    <t>proper case</t>
  </si>
  <si>
    <t>Column1</t>
  </si>
  <si>
    <t>first 2 letters</t>
  </si>
  <si>
    <t>Sum</t>
  </si>
  <si>
    <t>average</t>
  </si>
  <si>
    <t>max</t>
  </si>
  <si>
    <t>count</t>
  </si>
  <si>
    <t>averageif</t>
  </si>
  <si>
    <t>max&amp;min</t>
  </si>
  <si>
    <t>if</t>
  </si>
  <si>
    <t xml:space="preserve">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</si>
</sst>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DB3A5-8C67-4265-8B96-7E05584671E8}" name="Table1" displayName="Table1" ref="A2:M22" totalsRowShown="0" headerRowDxfId="12" headerRowBorderDxfId="10" tableBorderDxfId="11" totalsRowBorderDxfId="9">
  <autoFilter ref="A2:M22" xr:uid="{76CDB3A5-8C67-4265-8B96-7E05584671E8}"/>
  <sortState xmlns:xlrd2="http://schemas.microsoft.com/office/spreadsheetml/2017/richdata2" ref="A3:L22">
    <sortCondition descending="1" ref="F2:F22"/>
  </sortState>
  <tableColumns count="13">
    <tableColumn id="1" xr3:uid="{2D98BE92-A372-4B8F-9F8A-AF5198906157}" name="EmpID" dataDxfId="8"/>
    <tableColumn id="2" xr3:uid="{C6782924-1E4F-44DE-A660-363656730A1E}" name="Name" dataDxfId="7"/>
    <tableColumn id="3" xr3:uid="{1B97B174-B817-474A-B318-09F43AF260FB}" name="Department" dataDxfId="6"/>
    <tableColumn id="4" xr3:uid="{861461B5-43D8-4AFD-9E19-0EA0B2DFECD1}" name="Gender" dataDxfId="5"/>
    <tableColumn id="5" xr3:uid="{BF792543-9070-4F65-AD8E-3CC832A408E1}" name="Experience" dataDxfId="4"/>
    <tableColumn id="6" xr3:uid="{232E6C5D-42FF-43D4-BAA8-458EBC94C041}" name="Salary" dataDxfId="3"/>
    <tableColumn id="7" xr3:uid="{43F38B40-3EEF-4F03-9AA9-220609F61616}" name="Attrition" dataDxfId="2"/>
    <tableColumn id="8" xr3:uid="{1859B21B-EA4A-4B21-97BF-6E460339F731}" name="seniority">
      <calculatedColumnFormula>IF(Table1[[#This Row],[Experience]]&gt;E4,"senior","junior")</calculatedColumnFormula>
    </tableColumn>
    <tableColumn id="9" xr3:uid="{79B68D88-AC82-4FB4-A3CF-1462BAEC820C}" name="High Salary">
      <calculatedColumnFormula>IF(Table1[[#This Row],[Salary]]&gt;50000,"High Salary","Low Salary")</calculatedColumnFormula>
    </tableColumn>
    <tableColumn id="10" xr3:uid="{180C0F18-15C2-4967-9EF0-3F3C6388DBB7}" name="retention bonus">
      <calculatedColumnFormula>IF(F3&gt;60000,F3*0.1,0)</calculatedColumnFormula>
    </tableColumn>
    <tableColumn id="11" xr3:uid="{7284F338-06BA-463A-9FF6-00FCC6303F38}" name="proper case">
      <calculatedColumnFormula>PROPER(Table1[[#This Row],[Name]])</calculatedColumnFormula>
    </tableColumn>
    <tableColumn id="14" xr3:uid="{A0A49FEB-EDDA-4AFC-8DCD-36920E58822A}" name="first 2 letters" dataDxfId="1">
      <calculatedColumnFormula>LEFT(Table1[[#This Row],[Name]],2)</calculatedColumnFormula>
    </tableColumn>
    <tableColumn id="16" xr3:uid="{052A01B4-BB3E-48A0-89B1-69220FE18008}" name="Column1" dataDxfId="0">
      <calculatedColumnFormula>IF(Table1[[#This Row],[Salary]]&gt;50000,"bonus","no bonus")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0EC1-2676-4440-BBFD-C487325D8F20}">
  <dimension ref="A1:M22"/>
  <sheetViews>
    <sheetView tabSelected="1" topLeftCell="B1" workbookViewId="0">
      <selection activeCell="M4" sqref="M4"/>
    </sheetView>
  </sheetViews>
  <sheetFormatPr defaultRowHeight="14.5" x14ac:dyDescent="0.35"/>
  <cols>
    <col min="1" max="1" width="10.90625" bestFit="1" customWidth="1"/>
    <col min="2" max="2" width="10.26953125" bestFit="1" customWidth="1"/>
    <col min="3" max="3" width="15.6328125" bestFit="1" customWidth="1"/>
    <col min="4" max="4" width="11.54296875" bestFit="1" customWidth="1"/>
    <col min="5" max="5" width="9.90625" bestFit="1" customWidth="1"/>
    <col min="6" max="6" width="5.81640625" bestFit="1" customWidth="1"/>
    <col min="7" max="7" width="12.54296875" bestFit="1" customWidth="1"/>
    <col min="8" max="8" width="8.90625" customWidth="1"/>
    <col min="9" max="9" width="10.36328125" bestFit="1" customWidth="1"/>
    <col min="10" max="10" width="13.26953125" bestFit="1" customWidth="1"/>
  </cols>
  <sheetData>
    <row r="1" spans="1:13" ht="21" x14ac:dyDescent="0.5">
      <c r="A1" s="4" t="s">
        <v>66</v>
      </c>
      <c r="B1" s="4"/>
      <c r="C1" s="4"/>
      <c r="D1" s="4"/>
      <c r="E1" s="4"/>
      <c r="F1" s="4"/>
      <c r="G1" s="4"/>
    </row>
    <row r="2" spans="1:13" ht="29" x14ac:dyDescent="0.3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5</v>
      </c>
      <c r="G2" s="10" t="s">
        <v>6</v>
      </c>
      <c r="H2" s="8" t="s">
        <v>69</v>
      </c>
      <c r="I2" s="8" t="s">
        <v>71</v>
      </c>
      <c r="J2" s="8" t="s">
        <v>73</v>
      </c>
      <c r="K2" s="8" t="s">
        <v>75</v>
      </c>
      <c r="L2" s="8" t="s">
        <v>77</v>
      </c>
      <c r="M2" s="8" t="s">
        <v>76</v>
      </c>
    </row>
    <row r="3" spans="1:13" x14ac:dyDescent="0.35">
      <c r="A3" s="5">
        <v>119</v>
      </c>
      <c r="B3" s="2" t="s">
        <v>32</v>
      </c>
      <c r="C3" s="2" t="s">
        <v>8</v>
      </c>
      <c r="D3" s="2" t="s">
        <v>9</v>
      </c>
      <c r="E3" s="3">
        <v>10</v>
      </c>
      <c r="F3" s="3">
        <v>80000</v>
      </c>
      <c r="G3" s="6" t="s">
        <v>14</v>
      </c>
      <c r="H3" t="str">
        <f>IF(Table1[[#This Row],[Experience]]&gt;E4,"senior","junior")</f>
        <v>senior</v>
      </c>
      <c r="I3" t="str">
        <f>IF(Table1[[#This Row],[Salary]]&gt;50000,"High Salary","Low Salary")</f>
        <v>High Salary</v>
      </c>
      <c r="J3">
        <f>IF(F3&gt;60000,F3*0.1,0)</f>
        <v>8000</v>
      </c>
      <c r="K3" t="str">
        <f>PROPER(Table1[[#This Row],[Name]])</f>
        <v>Naveen</v>
      </c>
      <c r="L3" t="str">
        <f>LEFT(Table1[[#This Row],[Name]],2)</f>
        <v>Na</v>
      </c>
      <c r="M3" t="str">
        <f>IF(Table1[[#This Row],[Salary]]&gt;50000,"bonus","no bonus")</f>
        <v>bonus</v>
      </c>
    </row>
    <row r="4" spans="1:13" x14ac:dyDescent="0.35">
      <c r="A4" s="5">
        <v>112</v>
      </c>
      <c r="B4" s="2" t="s">
        <v>25</v>
      </c>
      <c r="C4" s="2" t="s">
        <v>8</v>
      </c>
      <c r="D4" s="2" t="s">
        <v>13</v>
      </c>
      <c r="E4" s="3">
        <v>9</v>
      </c>
      <c r="F4" s="3">
        <v>75000</v>
      </c>
      <c r="G4" s="6" t="s">
        <v>14</v>
      </c>
      <c r="H4" t="str">
        <f>IF(Table1[[#This Row],[Experience]]&gt;E5,"senior","junior")</f>
        <v>senior</v>
      </c>
      <c r="I4" t="str">
        <f>IF(Table1[[#This Row],[Salary]]&gt;50000,"High Salary","Low Salary")</f>
        <v>High Salary</v>
      </c>
      <c r="J4">
        <f>IF(F4&gt;60000,F4*0.1,0)</f>
        <v>7500</v>
      </c>
      <c r="K4" t="str">
        <f>PROPER(Table1[[#This Row],[Name]])</f>
        <v>Swathi</v>
      </c>
      <c r="L4" t="str">
        <f>LEFT(Table1[[#This Row],[Name]],2)</f>
        <v>Sw</v>
      </c>
      <c r="M4" t="str">
        <f>IF(Table1[[#This Row],[Salary]]&gt;50000,"bonus","no bonus")</f>
        <v>bonus</v>
      </c>
    </row>
    <row r="5" spans="1:13" x14ac:dyDescent="0.35">
      <c r="A5" s="5">
        <v>116</v>
      </c>
      <c r="B5" s="2" t="s">
        <v>29</v>
      </c>
      <c r="C5" s="2" t="s">
        <v>8</v>
      </c>
      <c r="D5" s="2" t="s">
        <v>13</v>
      </c>
      <c r="E5" s="3">
        <v>8</v>
      </c>
      <c r="F5" s="3">
        <v>72000</v>
      </c>
      <c r="G5" s="6" t="s">
        <v>14</v>
      </c>
      <c r="H5" t="str">
        <f>IF(Table1[[#This Row],[Experience]]&gt;E6,"senior","junior")</f>
        <v>junior</v>
      </c>
      <c r="I5" t="str">
        <f>IF(Table1[[#This Row],[Salary]]&gt;50000,"High Salary","Low Salary")</f>
        <v>High Salary</v>
      </c>
      <c r="J5">
        <f>IF(F5&gt;60000,F5*0.1,0)</f>
        <v>7200</v>
      </c>
      <c r="K5" t="str">
        <f>PROPER(Table1[[#This Row],[Name]])</f>
        <v>Geetha</v>
      </c>
      <c r="L5" t="str">
        <f>LEFT(Table1[[#This Row],[Name]],2)</f>
        <v>Ge</v>
      </c>
      <c r="M5" t="str">
        <f>IF(Table1[[#This Row],[Salary]]&gt;50000,"bonus","no bonus")</f>
        <v>bonus</v>
      </c>
    </row>
    <row r="6" spans="1:13" x14ac:dyDescent="0.35">
      <c r="A6" s="5">
        <v>106</v>
      </c>
      <c r="B6" s="2" t="s">
        <v>19</v>
      </c>
      <c r="C6" s="2" t="s">
        <v>8</v>
      </c>
      <c r="D6" s="2" t="s">
        <v>9</v>
      </c>
      <c r="E6" s="3">
        <v>8</v>
      </c>
      <c r="F6" s="3">
        <v>70000</v>
      </c>
      <c r="G6" s="6" t="s">
        <v>14</v>
      </c>
      <c r="H6" t="str">
        <f>IF(Table1[[#This Row],[Experience]]&gt;E7,"senior","junior")</f>
        <v>senior</v>
      </c>
      <c r="I6" t="str">
        <f>IF(Table1[[#This Row],[Salary]]&gt;50000,"High Salary","Low Salary")</f>
        <v>High Salary</v>
      </c>
      <c r="J6">
        <f>IF(F6&gt;60000,F6*0.1,0)</f>
        <v>7000</v>
      </c>
      <c r="K6" t="str">
        <f>PROPER(Table1[[#This Row],[Name]])</f>
        <v>Sunil</v>
      </c>
      <c r="L6" t="str">
        <f>LEFT(Table1[[#This Row],[Name]],2)</f>
        <v>Su</v>
      </c>
      <c r="M6" t="str">
        <f>IF(Table1[[#This Row],[Salary]]&gt;50000,"bonus","no bonus")</f>
        <v>bonus</v>
      </c>
    </row>
    <row r="7" spans="1:13" x14ac:dyDescent="0.35">
      <c r="A7" s="5">
        <v>104</v>
      </c>
      <c r="B7" s="2" t="s">
        <v>17</v>
      </c>
      <c r="C7" s="2" t="s">
        <v>8</v>
      </c>
      <c r="D7" s="2" t="s">
        <v>13</v>
      </c>
      <c r="E7" s="3">
        <v>7</v>
      </c>
      <c r="F7" s="3">
        <v>65000</v>
      </c>
      <c r="G7" s="6" t="s">
        <v>14</v>
      </c>
      <c r="H7" t="str">
        <f>IF(Table1[[#This Row],[Experience]]&gt;E8,"senior","junior")</f>
        <v>senior</v>
      </c>
      <c r="I7" t="str">
        <f>IF(Table1[[#This Row],[Salary]]&gt;50000,"High Salary","Low Salary")</f>
        <v>High Salary</v>
      </c>
      <c r="J7">
        <f>IF(F7&gt;60000,F7*0.1,0)</f>
        <v>6500</v>
      </c>
      <c r="K7" t="str">
        <f>PROPER(Table1[[#This Row],[Name]])</f>
        <v>Anita</v>
      </c>
      <c r="L7" t="str">
        <f>LEFT(Table1[[#This Row],[Name]],2)</f>
        <v>An</v>
      </c>
      <c r="M7" t="str">
        <f>IF(Table1[[#This Row],[Salary]]&gt;50000,"bonus","no bonus")</f>
        <v>bonus</v>
      </c>
    </row>
    <row r="8" spans="1:13" x14ac:dyDescent="0.35">
      <c r="A8" s="5">
        <v>109</v>
      </c>
      <c r="B8" s="2" t="s">
        <v>22</v>
      </c>
      <c r="C8" s="2" t="s">
        <v>8</v>
      </c>
      <c r="D8" s="2" t="s">
        <v>13</v>
      </c>
      <c r="E8" s="3">
        <v>6</v>
      </c>
      <c r="F8" s="3">
        <v>62000</v>
      </c>
      <c r="G8" s="6" t="s">
        <v>14</v>
      </c>
      <c r="H8" t="str">
        <f>IF(Table1[[#This Row],[Experience]]&gt;E9,"senior","junior")</f>
        <v>junior</v>
      </c>
      <c r="I8" t="str">
        <f>IF(Table1[[#This Row],[Salary]]&gt;50000,"High Salary","Low Salary")</f>
        <v>High Salary</v>
      </c>
      <c r="J8">
        <f>IF(F8&gt;60000,F8*0.1,0)</f>
        <v>6200</v>
      </c>
      <c r="K8" t="str">
        <f>PROPER(Table1[[#This Row],[Name]])</f>
        <v>Deepa</v>
      </c>
      <c r="L8" t="str">
        <f>LEFT(Table1[[#This Row],[Name]],2)</f>
        <v>De</v>
      </c>
      <c r="M8" t="str">
        <f>IF(Table1[[#This Row],[Salary]]&gt;50000,"bonus","no bonus")</f>
        <v>bonus</v>
      </c>
    </row>
    <row r="9" spans="1:13" x14ac:dyDescent="0.35">
      <c r="A9" s="5">
        <v>115</v>
      </c>
      <c r="B9" s="2" t="s">
        <v>28</v>
      </c>
      <c r="C9" s="2" t="s">
        <v>16</v>
      </c>
      <c r="D9" s="2" t="s">
        <v>9</v>
      </c>
      <c r="E9" s="3">
        <v>7</v>
      </c>
      <c r="F9" s="3">
        <v>55000</v>
      </c>
      <c r="G9" s="6" t="s">
        <v>14</v>
      </c>
      <c r="H9" t="str">
        <f>IF(Table1[[#This Row],[Experience]]&gt;E10,"senior","junior")</f>
        <v>senior</v>
      </c>
      <c r="I9" t="str">
        <f>IF(Table1[[#This Row],[Salary]]&gt;50000,"High Salary","Low Salary")</f>
        <v>High Salary</v>
      </c>
      <c r="J9">
        <f>IF(F9&gt;60000,F9*0.1,0)</f>
        <v>0</v>
      </c>
      <c r="K9" t="str">
        <f>PROPER(Table1[[#This Row],[Name]])</f>
        <v>Venkat</v>
      </c>
      <c r="L9" t="str">
        <f>LEFT(Table1[[#This Row],[Name]],2)</f>
        <v>Ve</v>
      </c>
      <c r="M9" t="str">
        <f>IF(Table1[[#This Row],[Salary]]&gt;50000,"bonus","no bonus")</f>
        <v>bonus</v>
      </c>
    </row>
    <row r="10" spans="1:13" x14ac:dyDescent="0.35">
      <c r="A10" s="5">
        <v>118</v>
      </c>
      <c r="B10" s="2" t="s">
        <v>31</v>
      </c>
      <c r="C10" s="2" t="s">
        <v>12</v>
      </c>
      <c r="D10" s="2" t="s">
        <v>13</v>
      </c>
      <c r="E10" s="3">
        <v>6</v>
      </c>
      <c r="F10" s="3">
        <v>50000</v>
      </c>
      <c r="G10" s="6" t="s">
        <v>14</v>
      </c>
      <c r="H10" t="str">
        <f>IF(Table1[[#This Row],[Experience]]&gt;E11,"senior","junior")</f>
        <v>senior</v>
      </c>
      <c r="I10" t="str">
        <f>IF(Table1[[#This Row],[Salary]]&gt;50000,"High Salary","Low Salary")</f>
        <v>Low Salary</v>
      </c>
      <c r="J10">
        <f>IF(F10&gt;60000,F10*0.1,0)</f>
        <v>0</v>
      </c>
      <c r="K10" t="str">
        <f>PROPER(Table1[[#This Row],[Name]])</f>
        <v>Divya</v>
      </c>
      <c r="L10" t="str">
        <f>LEFT(Table1[[#This Row],[Name]],2)</f>
        <v>Di</v>
      </c>
      <c r="M10" t="str">
        <f>IF(Table1[[#This Row],[Salary]]&gt;50000,"bonus","no bonus")</f>
        <v>no bonus</v>
      </c>
    </row>
    <row r="11" spans="1:13" x14ac:dyDescent="0.35">
      <c r="A11" s="5">
        <v>120</v>
      </c>
      <c r="B11" s="2" t="s">
        <v>33</v>
      </c>
      <c r="C11" s="2" t="s">
        <v>16</v>
      </c>
      <c r="D11" s="2" t="s">
        <v>9</v>
      </c>
      <c r="E11" s="3">
        <v>5</v>
      </c>
      <c r="F11" s="3">
        <v>48000</v>
      </c>
      <c r="G11" s="6" t="s">
        <v>14</v>
      </c>
      <c r="H11" t="str">
        <f>IF(Table1[[#This Row],[Experience]]&gt;E12,"senior","junior")</f>
        <v>junior</v>
      </c>
      <c r="I11" t="str">
        <f>IF(Table1[[#This Row],[Salary]]&gt;50000,"High Salary","Low Salary")</f>
        <v>Low Salary</v>
      </c>
      <c r="J11">
        <f>IF(F11&gt;60000,F11*0.1,0)</f>
        <v>0</v>
      </c>
      <c r="K11" t="str">
        <f>PROPER(Table1[[#This Row],[Name]])</f>
        <v>Suresh</v>
      </c>
      <c r="L11" t="str">
        <f>LEFT(Table1[[#This Row],[Name]],2)</f>
        <v>Su</v>
      </c>
      <c r="M11" t="str">
        <f>IF(Table1[[#This Row],[Salary]]&gt;50000,"bonus","no bonus")</f>
        <v>no bonus</v>
      </c>
    </row>
    <row r="12" spans="1:13" x14ac:dyDescent="0.35">
      <c r="A12" s="5">
        <v>111</v>
      </c>
      <c r="B12" s="2" t="s">
        <v>24</v>
      </c>
      <c r="C12" s="2" t="s">
        <v>12</v>
      </c>
      <c r="D12" s="2" t="s">
        <v>9</v>
      </c>
      <c r="E12" s="3">
        <v>5</v>
      </c>
      <c r="F12" s="3">
        <v>47000</v>
      </c>
      <c r="G12" s="6" t="s">
        <v>14</v>
      </c>
      <c r="H12" t="str">
        <f>IF(Table1[[#This Row],[Experience]]&gt;E13,"senior","junior")</f>
        <v>junior</v>
      </c>
      <c r="I12" t="str">
        <f>IF(Table1[[#This Row],[Salary]]&gt;50000,"High Salary","Low Salary")</f>
        <v>Low Salary</v>
      </c>
      <c r="J12">
        <f>IF(F12&gt;60000,F12*0.1,0)</f>
        <v>0</v>
      </c>
      <c r="K12" t="str">
        <f>PROPER(Table1[[#This Row],[Name]])</f>
        <v>Harish</v>
      </c>
      <c r="L12" t="str">
        <f>LEFT(Table1[[#This Row],[Name]],2)</f>
        <v>Ha</v>
      </c>
      <c r="M12" t="str">
        <f>IF(Table1[[#This Row],[Salary]]&gt;50000,"bonus","no bonus")</f>
        <v>no bonus</v>
      </c>
    </row>
    <row r="13" spans="1:13" ht="14" customHeight="1" x14ac:dyDescent="0.35">
      <c r="A13" s="5">
        <v>102</v>
      </c>
      <c r="B13" s="2" t="s">
        <v>11</v>
      </c>
      <c r="C13" s="2" t="s">
        <v>12</v>
      </c>
      <c r="D13" s="2" t="s">
        <v>13</v>
      </c>
      <c r="E13" s="3">
        <v>5</v>
      </c>
      <c r="F13" s="3">
        <v>45000</v>
      </c>
      <c r="G13" s="6" t="s">
        <v>14</v>
      </c>
      <c r="H13" t="str">
        <f>IF(Table1[[#This Row],[Experience]]&gt;E14,"senior","junior")</f>
        <v>senior</v>
      </c>
      <c r="I13" t="str">
        <f>IF(Table1[[#This Row],[Salary]]&gt;50000,"High Salary","Low Salary")</f>
        <v>Low Salary</v>
      </c>
      <c r="J13">
        <f>IF(F13&gt;60000,F13*0.1,0)</f>
        <v>0</v>
      </c>
      <c r="K13" t="str">
        <f>PROPER(Table1[[#This Row],[Name]])</f>
        <v>Sita</v>
      </c>
      <c r="L13" t="str">
        <f>LEFT(Table1[[#This Row],[Name]],2)</f>
        <v>Si</v>
      </c>
      <c r="M13" t="str">
        <f>IF(Table1[[#This Row],[Salary]]&gt;50000,"bonus","no bonus")</f>
        <v>no bonus</v>
      </c>
    </row>
    <row r="14" spans="1:13" x14ac:dyDescent="0.35">
      <c r="A14" s="5">
        <v>114</v>
      </c>
      <c r="B14" s="2" t="s">
        <v>27</v>
      </c>
      <c r="C14" s="2" t="s">
        <v>12</v>
      </c>
      <c r="D14" s="2" t="s">
        <v>13</v>
      </c>
      <c r="E14" s="3">
        <v>4</v>
      </c>
      <c r="F14" s="3">
        <v>44000</v>
      </c>
      <c r="G14" s="6" t="s">
        <v>14</v>
      </c>
      <c r="H14" t="str">
        <f>IF(Table1[[#This Row],[Experience]]&gt;E15,"senior","junior")</f>
        <v>junior</v>
      </c>
      <c r="I14" t="str">
        <f>IF(Table1[[#This Row],[Salary]]&gt;50000,"High Salary","Low Salary")</f>
        <v>Low Salary</v>
      </c>
      <c r="J14">
        <f>IF(F14&gt;60000,F14*0.1,0)</f>
        <v>0</v>
      </c>
      <c r="K14" t="str">
        <f>PROPER(Table1[[#This Row],[Name]])</f>
        <v>Latha</v>
      </c>
      <c r="L14" t="str">
        <f>LEFT(Table1[[#This Row],[Name]],2)</f>
        <v>La</v>
      </c>
      <c r="M14" t="str">
        <f>IF(Table1[[#This Row],[Salary]]&gt;50000,"bonus","no bonus")</f>
        <v>no bonus</v>
      </c>
    </row>
    <row r="15" spans="1:13" x14ac:dyDescent="0.35">
      <c r="A15" s="5">
        <v>108</v>
      </c>
      <c r="B15" s="2" t="s">
        <v>21</v>
      </c>
      <c r="C15" s="2" t="s">
        <v>16</v>
      </c>
      <c r="D15" s="2" t="s">
        <v>9</v>
      </c>
      <c r="E15" s="3">
        <v>4</v>
      </c>
      <c r="F15" s="3">
        <v>42000</v>
      </c>
      <c r="G15" s="6" t="s">
        <v>14</v>
      </c>
      <c r="H15" t="str">
        <f>IF(Table1[[#This Row],[Experience]]&gt;E16,"senior","junior")</f>
        <v>senior</v>
      </c>
      <c r="I15" t="str">
        <f>IF(Table1[[#This Row],[Salary]]&gt;50000,"High Salary","Low Salary")</f>
        <v>Low Salary</v>
      </c>
      <c r="J15">
        <f>IF(F15&gt;60000,F15*0.1,0)</f>
        <v>0</v>
      </c>
      <c r="K15" t="str">
        <f>PROPER(Table1[[#This Row],[Name]])</f>
        <v>Kiran</v>
      </c>
      <c r="L15" t="str">
        <f>LEFT(Table1[[#This Row],[Name]],2)</f>
        <v>Ki</v>
      </c>
      <c r="M15" t="str">
        <f>IF(Table1[[#This Row],[Salary]]&gt;50000,"bonus","no bonus")</f>
        <v>no bonus</v>
      </c>
    </row>
    <row r="16" spans="1:13" x14ac:dyDescent="0.35">
      <c r="A16" s="5">
        <v>105</v>
      </c>
      <c r="B16" s="2" t="s">
        <v>18</v>
      </c>
      <c r="C16" s="2" t="s">
        <v>16</v>
      </c>
      <c r="D16" s="2" t="s">
        <v>9</v>
      </c>
      <c r="E16" s="3">
        <v>3</v>
      </c>
      <c r="F16" s="3">
        <v>40000</v>
      </c>
      <c r="G16" s="6" t="s">
        <v>14</v>
      </c>
      <c r="H16" t="str">
        <f>IF(Table1[[#This Row],[Experience]]&gt;E17,"senior","junior")</f>
        <v>junior</v>
      </c>
      <c r="I16" t="str">
        <f>IF(Table1[[#This Row],[Salary]]&gt;50000,"High Salary","Low Salary")</f>
        <v>Low Salary</v>
      </c>
      <c r="J16">
        <f>IF(F16&gt;60000,F16*0.1,0)</f>
        <v>0</v>
      </c>
      <c r="K16" t="str">
        <f>PROPER(Table1[[#This Row],[Name]])</f>
        <v>Rajesh</v>
      </c>
      <c r="L16" t="str">
        <f>LEFT(Table1[[#This Row],[Name]],2)</f>
        <v>Ra</v>
      </c>
      <c r="M16" t="str">
        <f>IF(Table1[[#This Row],[Salary]]&gt;50000,"bonus","no bonus")</f>
        <v>no bonus</v>
      </c>
    </row>
    <row r="17" spans="1:13" x14ac:dyDescent="0.35">
      <c r="A17" s="5">
        <v>113</v>
      </c>
      <c r="B17" s="2" t="s">
        <v>26</v>
      </c>
      <c r="C17" s="2" t="s">
        <v>16</v>
      </c>
      <c r="D17" s="2" t="s">
        <v>9</v>
      </c>
      <c r="E17" s="3">
        <v>3</v>
      </c>
      <c r="F17" s="3">
        <v>39000</v>
      </c>
      <c r="G17" s="6" t="s">
        <v>10</v>
      </c>
      <c r="H17" t="str">
        <f>IF(Table1[[#This Row],[Experience]]&gt;E18,"senior","junior")</f>
        <v>senior</v>
      </c>
      <c r="I17" t="str">
        <f>IF(Table1[[#This Row],[Salary]]&gt;50000,"High Salary","Low Salary")</f>
        <v>Low Salary</v>
      </c>
      <c r="J17">
        <f>IF(F17&gt;60000,F17*0.1,0)</f>
        <v>0</v>
      </c>
      <c r="K17" t="str">
        <f>PROPER(Table1[[#This Row],[Name]])</f>
        <v>Arun</v>
      </c>
      <c r="L17" t="str">
        <f>LEFT(Table1[[#This Row],[Name]],2)</f>
        <v>Ar</v>
      </c>
      <c r="M17" t="str">
        <f>IF(Table1[[#This Row],[Salary]]&gt;50000,"bonus","no bonus")</f>
        <v>no bonus</v>
      </c>
    </row>
    <row r="18" spans="1:13" x14ac:dyDescent="0.35">
      <c r="A18" s="5">
        <v>107</v>
      </c>
      <c r="B18" s="2" t="s">
        <v>20</v>
      </c>
      <c r="C18" s="2" t="s">
        <v>12</v>
      </c>
      <c r="D18" s="2" t="s">
        <v>13</v>
      </c>
      <c r="E18" s="3">
        <v>2</v>
      </c>
      <c r="F18" s="3">
        <v>38000</v>
      </c>
      <c r="G18" s="6" t="s">
        <v>10</v>
      </c>
      <c r="H18" t="str">
        <f>IF(Table1[[#This Row],[Experience]]&gt;E19,"senior","junior")</f>
        <v>junior</v>
      </c>
      <c r="I18" t="str">
        <f>IF(Table1[[#This Row],[Salary]]&gt;50000,"High Salary","Low Salary")</f>
        <v>Low Salary</v>
      </c>
      <c r="J18">
        <f>IF(F18&gt;60000,F18*0.1,0)</f>
        <v>0</v>
      </c>
      <c r="K18" t="str">
        <f>PROPER(Table1[[#This Row],[Name]])</f>
        <v>Priya</v>
      </c>
      <c r="L18" t="str">
        <f>LEFT(Table1[[#This Row],[Name]],2)</f>
        <v>Pr</v>
      </c>
      <c r="M18" t="str">
        <f>IF(Table1[[#This Row],[Salary]]&gt;50000,"bonus","no bonus")</f>
        <v>no bonus</v>
      </c>
    </row>
    <row r="19" spans="1:13" x14ac:dyDescent="0.35">
      <c r="A19" s="5">
        <v>117</v>
      </c>
      <c r="B19" s="2" t="s">
        <v>30</v>
      </c>
      <c r="C19" s="2" t="s">
        <v>16</v>
      </c>
      <c r="D19" s="2" t="s">
        <v>9</v>
      </c>
      <c r="E19" s="3">
        <v>2</v>
      </c>
      <c r="F19" s="3">
        <v>36000</v>
      </c>
      <c r="G19" s="6" t="s">
        <v>10</v>
      </c>
      <c r="H19" t="str">
        <f>IF(Table1[[#This Row],[Experience]]&gt;E20,"senior","junior")</f>
        <v>junior</v>
      </c>
      <c r="I19" t="str">
        <f>IF(Table1[[#This Row],[Salary]]&gt;50000,"High Salary","Low Salary")</f>
        <v>Low Salary</v>
      </c>
      <c r="J19">
        <f>IF(F19&gt;60000,F19*0.1,0)</f>
        <v>0</v>
      </c>
      <c r="K19" t="str">
        <f>PROPER(Table1[[#This Row],[Name]])</f>
        <v>Ramesh</v>
      </c>
      <c r="L19" t="str">
        <f>LEFT(Table1[[#This Row],[Name]],2)</f>
        <v>Ra</v>
      </c>
      <c r="M19" t="str">
        <f>IF(Table1[[#This Row],[Salary]]&gt;50000,"bonus","no bonus")</f>
        <v>no bonus</v>
      </c>
    </row>
    <row r="20" spans="1:13" x14ac:dyDescent="0.35">
      <c r="A20" s="5">
        <v>101</v>
      </c>
      <c r="B20" s="2" t="s">
        <v>7</v>
      </c>
      <c r="C20" s="2" t="s">
        <v>8</v>
      </c>
      <c r="D20" s="2" t="s">
        <v>9</v>
      </c>
      <c r="E20" s="3">
        <v>2</v>
      </c>
      <c r="F20" s="3">
        <v>35000</v>
      </c>
      <c r="G20" s="6" t="s">
        <v>10</v>
      </c>
      <c r="H20" t="str">
        <f>IF(Table1[[#This Row],[Experience]]&gt;E21,"senior","junior")</f>
        <v>junior</v>
      </c>
      <c r="I20" t="str">
        <f>IF(Table1[[#This Row],[Salary]]&gt;50000,"High Salary","Low Salary")</f>
        <v>Low Salary</v>
      </c>
      <c r="J20">
        <f>IF(F20&gt;60000,F20*0.1,0)</f>
        <v>0</v>
      </c>
      <c r="K20" t="str">
        <f>PROPER(Table1[[#This Row],[Name]])</f>
        <v>Ravi</v>
      </c>
      <c r="L20" t="str">
        <f>LEFT(Table1[[#This Row],[Name]],2)</f>
        <v>Ra</v>
      </c>
      <c r="M20" t="str">
        <f>IF(Table1[[#This Row],[Salary]]&gt;50000,"bonus","no bonus")</f>
        <v>no bonus</v>
      </c>
    </row>
    <row r="21" spans="1:13" x14ac:dyDescent="0.35">
      <c r="A21" s="5">
        <v>110</v>
      </c>
      <c r="B21" s="2" t="s">
        <v>23</v>
      </c>
      <c r="C21" s="2" t="s">
        <v>16</v>
      </c>
      <c r="D21" s="2" t="s">
        <v>9</v>
      </c>
      <c r="E21" s="3">
        <v>2</v>
      </c>
      <c r="F21" s="3">
        <v>35000</v>
      </c>
      <c r="G21" s="6" t="s">
        <v>10</v>
      </c>
      <c r="H21" t="str">
        <f>IF(Table1[[#This Row],[Experience]]&gt;E22,"senior","junior")</f>
        <v>senior</v>
      </c>
      <c r="I21" t="str">
        <f>IF(Table1[[#This Row],[Salary]]&gt;50000,"High Salary","Low Salary")</f>
        <v>Low Salary</v>
      </c>
      <c r="J21">
        <f>IF(F21&gt;60000,F21*0.1,0)</f>
        <v>0</v>
      </c>
      <c r="K21" t="str">
        <f>PROPER(Table1[[#This Row],[Name]])</f>
        <v>Mohan</v>
      </c>
      <c r="L21" t="str">
        <f>LEFT(Table1[[#This Row],[Name]],2)</f>
        <v>Mo</v>
      </c>
      <c r="M21" t="str">
        <f>IF(Table1[[#This Row],[Salary]]&gt;50000,"bonus","no bonus")</f>
        <v>no bonus</v>
      </c>
    </row>
    <row r="22" spans="1:13" x14ac:dyDescent="0.35">
      <c r="A22" s="11">
        <v>103</v>
      </c>
      <c r="B22" s="12" t="s">
        <v>15</v>
      </c>
      <c r="C22" s="12" t="s">
        <v>16</v>
      </c>
      <c r="D22" s="12" t="s">
        <v>9</v>
      </c>
      <c r="E22" s="13">
        <v>1</v>
      </c>
      <c r="F22" s="13">
        <v>30000</v>
      </c>
      <c r="G22" s="14" t="s">
        <v>10</v>
      </c>
      <c r="H22" t="str">
        <f>IF(Table1[[#This Row],[Experience]]&gt;E23,"senior","junior")</f>
        <v>senior</v>
      </c>
      <c r="I22" t="str">
        <f>IF(Table1[[#This Row],[Salary]]&gt;50000,"High Salary","Low Salary")</f>
        <v>Low Salary</v>
      </c>
      <c r="J22">
        <f>IF(F22&gt;60000,F22*0.1,0)</f>
        <v>0</v>
      </c>
      <c r="K22" t="str">
        <f>PROPER(Table1[[#This Row],[Name]])</f>
        <v>John</v>
      </c>
      <c r="L22" t="str">
        <f>LEFT(Table1[[#This Row],[Name]],2)</f>
        <v>Jo</v>
      </c>
      <c r="M22" t="str">
        <f>IF(Table1[[#This Row],[Salary]]&gt;50000,"bonus","no bonus")</f>
        <v>no bonus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E1D1-5218-496A-AF3E-23E7B5D8AD86}">
  <dimension ref="A1:D22"/>
  <sheetViews>
    <sheetView workbookViewId="0">
      <selection activeCell="C15" sqref="C15"/>
    </sheetView>
  </sheetViews>
  <sheetFormatPr defaultRowHeight="14.5" x14ac:dyDescent="0.35"/>
  <cols>
    <col min="2" max="2" width="63" bestFit="1" customWidth="1"/>
  </cols>
  <sheetData>
    <row r="1" spans="1:4" x14ac:dyDescent="0.35">
      <c r="A1" s="1" t="s">
        <v>34</v>
      </c>
      <c r="B1" s="1"/>
    </row>
    <row r="3" spans="1:4" x14ac:dyDescent="0.35">
      <c r="A3">
        <v>1</v>
      </c>
      <c r="B3" t="s">
        <v>35</v>
      </c>
      <c r="C3">
        <f>SUM(Table1[Salary])</f>
        <v>1008000</v>
      </c>
    </row>
    <row r="4" spans="1:4" x14ac:dyDescent="0.35">
      <c r="A4">
        <v>2</v>
      </c>
      <c r="B4" t="s">
        <v>36</v>
      </c>
      <c r="C4">
        <f>AVERAGE(Table1[Salary])</f>
        <v>50400</v>
      </c>
    </row>
    <row r="5" spans="1:4" x14ac:dyDescent="0.35">
      <c r="A5">
        <v>3</v>
      </c>
      <c r="B5" t="s">
        <v>37</v>
      </c>
      <c r="C5">
        <f>MAX(Table1[Salary])</f>
        <v>80000</v>
      </c>
    </row>
    <row r="6" spans="1:4" x14ac:dyDescent="0.35">
      <c r="A6">
        <v>4</v>
      </c>
      <c r="B6" t="s">
        <v>38</v>
      </c>
      <c r="C6">
        <f>MIN(Table1[Salary])</f>
        <v>30000</v>
      </c>
    </row>
    <row r="7" spans="1:4" x14ac:dyDescent="0.35">
      <c r="A7">
        <v>5</v>
      </c>
      <c r="B7" t="s">
        <v>39</v>
      </c>
      <c r="C7">
        <f>COUNT(Table1[EmpID])</f>
        <v>20</v>
      </c>
    </row>
    <row r="8" spans="1:4" x14ac:dyDescent="0.35">
      <c r="A8">
        <v>6</v>
      </c>
      <c r="B8" t="s">
        <v>40</v>
      </c>
      <c r="C8">
        <f>COUNTIF(Table1[Department],Table1[[#This Row],[Department]])</f>
        <v>7</v>
      </c>
    </row>
    <row r="9" spans="1:4" x14ac:dyDescent="0.35">
      <c r="A9">
        <v>7</v>
      </c>
      <c r="B9" t="s">
        <v>41</v>
      </c>
      <c r="C9">
        <f>COUNTIF(Table1[Department],Employee!C5)</f>
        <v>7</v>
      </c>
    </row>
    <row r="10" spans="1:4" x14ac:dyDescent="0.35">
      <c r="A10">
        <v>8</v>
      </c>
      <c r="B10" t="s">
        <v>42</v>
      </c>
      <c r="C10">
        <f>SUMIF(Table1[Department],Employee!C6,Table1[Salary])</f>
        <v>459000</v>
      </c>
    </row>
    <row r="11" spans="1:4" x14ac:dyDescent="0.35">
      <c r="A11">
        <v>9</v>
      </c>
      <c r="B11" t="s">
        <v>43</v>
      </c>
      <c r="C11">
        <f>SUMIF(Table1[Department],Employee!C4,Table1[Salary])</f>
        <v>459000</v>
      </c>
    </row>
    <row r="12" spans="1:4" x14ac:dyDescent="0.35">
      <c r="A12">
        <v>10</v>
      </c>
      <c r="B12" t="s">
        <v>44</v>
      </c>
      <c r="C12">
        <f>AVERAGEIF(Table1[Department],Employee!C9,Table1[Salary])</f>
        <v>40625</v>
      </c>
    </row>
    <row r="13" spans="1:4" x14ac:dyDescent="0.35">
      <c r="A13">
        <v>11</v>
      </c>
      <c r="B13" t="s">
        <v>45</v>
      </c>
      <c r="C13">
        <f>COUNTIF(Table1[Attrition],Employee!G3)</f>
        <v>14</v>
      </c>
    </row>
    <row r="14" spans="1:4" x14ac:dyDescent="0.35">
      <c r="A14">
        <v>12</v>
      </c>
      <c r="B14" t="s">
        <v>46</v>
      </c>
      <c r="C14">
        <f>COUNTIF(Table1[Attrition],Employee!G4)</f>
        <v>14</v>
      </c>
    </row>
    <row r="15" spans="1:4" s="15" customFormat="1" x14ac:dyDescent="0.35">
      <c r="A15" s="15">
        <v>13</v>
      </c>
      <c r="B15" s="15" t="s">
        <v>47</v>
      </c>
      <c r="C15" s="15">
        <f>COUNTIF(Table1[Attrition],Employee!G3)/COUNTA(Table1[Attrition])</f>
        <v>0.7</v>
      </c>
      <c r="D15" s="15" t="s">
        <v>68</v>
      </c>
    </row>
    <row r="16" spans="1:4" x14ac:dyDescent="0.35">
      <c r="A16">
        <v>14</v>
      </c>
      <c r="B16" t="s">
        <v>48</v>
      </c>
      <c r="C16" t="s">
        <v>70</v>
      </c>
    </row>
    <row r="17" spans="1:3" x14ac:dyDescent="0.35">
      <c r="A17">
        <v>15</v>
      </c>
      <c r="B17" t="s">
        <v>49</v>
      </c>
      <c r="C17">
        <f>COUNTIF(Table1[Experience],"&gt;5")</f>
        <v>8</v>
      </c>
    </row>
    <row r="18" spans="1:3" x14ac:dyDescent="0.35">
      <c r="A18">
        <v>16</v>
      </c>
      <c r="B18" t="s">
        <v>50</v>
      </c>
      <c r="C18" t="s">
        <v>70</v>
      </c>
    </row>
    <row r="19" spans="1:3" x14ac:dyDescent="0.35">
      <c r="A19">
        <v>17</v>
      </c>
      <c r="B19" t="s">
        <v>51</v>
      </c>
      <c r="C19">
        <f>COUNTIF(Table1[Salary],"&gt;50000")</f>
        <v>7</v>
      </c>
    </row>
    <row r="20" spans="1:3" x14ac:dyDescent="0.35">
      <c r="A20">
        <v>18</v>
      </c>
      <c r="B20" t="s">
        <v>52</v>
      </c>
      <c r="C20" t="s">
        <v>74</v>
      </c>
    </row>
    <row r="21" spans="1:3" x14ac:dyDescent="0.35">
      <c r="A21">
        <v>19</v>
      </c>
      <c r="B21" t="s">
        <v>53</v>
      </c>
      <c r="C21" t="s">
        <v>74</v>
      </c>
    </row>
    <row r="22" spans="1:3" x14ac:dyDescent="0.35">
      <c r="A22">
        <v>20</v>
      </c>
      <c r="B22" t="s">
        <v>54</v>
      </c>
      <c r="C2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54D4-574F-4425-8EA3-B934C930D257}">
  <dimension ref="A1:I12"/>
  <sheetViews>
    <sheetView workbookViewId="0">
      <selection activeCell="I12" sqref="I12"/>
    </sheetView>
  </sheetViews>
  <sheetFormatPr defaultRowHeight="14.5" x14ac:dyDescent="0.35"/>
  <sheetData>
    <row r="1" spans="1:9" x14ac:dyDescent="0.35">
      <c r="A1" s="1" t="s">
        <v>55</v>
      </c>
      <c r="B1" s="1"/>
    </row>
    <row r="3" spans="1:9" x14ac:dyDescent="0.35">
      <c r="B3" t="s">
        <v>56</v>
      </c>
      <c r="I3" t="s">
        <v>78</v>
      </c>
    </row>
    <row r="4" spans="1:9" x14ac:dyDescent="0.35">
      <c r="B4" t="s">
        <v>57</v>
      </c>
      <c r="I4" t="s">
        <v>79</v>
      </c>
    </row>
    <row r="5" spans="1:9" x14ac:dyDescent="0.35">
      <c r="B5" t="s">
        <v>58</v>
      </c>
      <c r="I5" t="s">
        <v>80</v>
      </c>
    </row>
    <row r="6" spans="1:9" x14ac:dyDescent="0.35">
      <c r="B6" t="s">
        <v>59</v>
      </c>
      <c r="I6" t="s">
        <v>81</v>
      </c>
    </row>
    <row r="7" spans="1:9" x14ac:dyDescent="0.35">
      <c r="B7" t="s">
        <v>60</v>
      </c>
      <c r="I7" t="s">
        <v>72</v>
      </c>
    </row>
    <row r="8" spans="1:9" x14ac:dyDescent="0.35">
      <c r="B8" t="s">
        <v>61</v>
      </c>
      <c r="I8" t="s">
        <v>67</v>
      </c>
    </row>
    <row r="9" spans="1:9" x14ac:dyDescent="0.35">
      <c r="B9" t="s">
        <v>62</v>
      </c>
      <c r="I9" t="s">
        <v>82</v>
      </c>
    </row>
    <row r="10" spans="1:9" x14ac:dyDescent="0.35">
      <c r="B10" t="s">
        <v>63</v>
      </c>
      <c r="I10" t="s">
        <v>83</v>
      </c>
    </row>
    <row r="11" spans="1:9" x14ac:dyDescent="0.35">
      <c r="B11" t="s">
        <v>64</v>
      </c>
      <c r="I11" t="s">
        <v>84</v>
      </c>
    </row>
    <row r="12" spans="1:9" x14ac:dyDescent="0.35">
      <c r="B12" t="s">
        <v>65</v>
      </c>
      <c r="I1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Business Questions</vt:lpstr>
      <vt:lpstr>Interview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V</dc:creator>
  <cp:lastModifiedBy>Prudhvi Vinay</cp:lastModifiedBy>
  <dcterms:created xsi:type="dcterms:W3CDTF">2026-06-17T13:04:57Z</dcterms:created>
  <dcterms:modified xsi:type="dcterms:W3CDTF">2026-06-17T19:12:13Z</dcterms:modified>
</cp:coreProperties>
</file>