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7819C2E-9186-459A-A103-4F3795BC91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s_Dataset" sheetId="1" r:id="rId1"/>
    <sheet name="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G6" i="1"/>
  <c r="G19" i="1"/>
  <c r="G4" i="1"/>
  <c r="G14" i="1"/>
  <c r="G50" i="1"/>
  <c r="G7" i="1"/>
  <c r="G8" i="1"/>
  <c r="G17" i="1"/>
  <c r="G30" i="1"/>
  <c r="G31" i="1"/>
  <c r="G12" i="1"/>
  <c r="G13" i="1"/>
  <c r="G46" i="1"/>
  <c r="G15" i="1"/>
  <c r="G23" i="1"/>
  <c r="G32" i="1"/>
  <c r="G18" i="1"/>
  <c r="G51" i="1"/>
  <c r="G10" i="1"/>
  <c r="G21" i="1"/>
  <c r="G22" i="1"/>
  <c r="G27" i="1"/>
  <c r="G43" i="1"/>
  <c r="G25" i="1"/>
  <c r="G26" i="1"/>
  <c r="G40" i="1"/>
  <c r="G28" i="1"/>
  <c r="G36" i="1"/>
  <c r="G9" i="1"/>
  <c r="G34" i="1"/>
  <c r="G45" i="1"/>
  <c r="G33" i="1"/>
  <c r="G20" i="1"/>
  <c r="G35" i="1"/>
  <c r="G16" i="1"/>
  <c r="G49" i="1"/>
  <c r="G38" i="1"/>
  <c r="G41" i="1"/>
  <c r="G37" i="1"/>
  <c r="G24" i="1"/>
  <c r="G5" i="1"/>
  <c r="G39" i="1"/>
  <c r="G42" i="1"/>
  <c r="G44" i="1"/>
  <c r="G11" i="1"/>
  <c r="G47" i="1"/>
  <c r="G48" i="1"/>
  <c r="G29" i="1"/>
  <c r="G2" i="1"/>
  <c r="G3" i="1"/>
  <c r="B13" i="2"/>
  <c r="B12" i="2"/>
  <c r="B11" i="2"/>
  <c r="B10" i="2"/>
  <c r="B9" i="2"/>
  <c r="B8" i="2"/>
  <c r="B7" i="2"/>
  <c r="B6" i="2"/>
  <c r="B5" i="2"/>
  <c r="B4" i="2"/>
  <c r="B3" i="2"/>
  <c r="B2" i="2"/>
  <c r="B18" i="2" l="1"/>
  <c r="B19" i="2"/>
</calcChain>
</file>

<file path=xl/sharedStrings.xml><?xml version="1.0" encoding="utf-8"?>
<sst xmlns="http://schemas.openxmlformats.org/spreadsheetml/2006/main" count="82" uniqueCount="82">
  <si>
    <t>EmployeeID</t>
  </si>
  <si>
    <t>Age</t>
  </si>
  <si>
    <t>ExperienceYears</t>
  </si>
  <si>
    <t>MonthlySalary</t>
  </si>
  <si>
    <t>TrainingHours</t>
  </si>
  <si>
    <t>PerformanceScore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</si>
  <si>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</si>
  <si>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</si>
  <si>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</si>
  <si>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</si>
  <si>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</si>
  <si>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</si>
  <si>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</si>
  <si>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</si>
  <si>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</si>
  <si>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</si>
  <si>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</si>
  <si>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</si>
  <si>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</si>
  <si>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</si>
  <si>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</si>
  <si>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</si>
  <si>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</si>
  <si>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</si>
  <si>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</si>
  <si>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</si>
  <si>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</si>
  <si>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</si>
  <si>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</si>
  <si>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</si>
  <si>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</si>
  <si>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</si>
  <si>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</si>
  <si>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</si>
  <si>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</si>
  <si>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</si>
  <si>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</si>
  <si>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</si>
  <si>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</si>
  <si>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</si>
  <si>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</si>
  <si>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</si>
  <si>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</si>
  <si>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</si>
  <si>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</si>
  <si>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</si>
  <si>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</si>
  <si>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</si>
  <si>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</si>
  <si>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</si>
  <si>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</si>
  <si>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</si>
  <si>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</si>
  <si>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</si>
  <si>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</si>
  <si>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</si>
  <si>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what is the count ?</t>
  </si>
  <si>
    <t>what is the maximum exp ?</t>
  </si>
  <si>
    <t>what is the minimum exp ?</t>
  </si>
  <si>
    <t>what is the average salary pay ?</t>
  </si>
  <si>
    <t>what is the highest salary pay ?</t>
  </si>
  <si>
    <t>what is the lowest salary pay ?</t>
  </si>
  <si>
    <t>what is the highest training hrs ?</t>
  </si>
  <si>
    <t>what is the lowest traning hrs ?</t>
  </si>
  <si>
    <t>what is the average traning hours ?</t>
  </si>
  <si>
    <t>what is the highest performance score ?</t>
  </si>
  <si>
    <t>what is the lowest performance score ?</t>
  </si>
  <si>
    <t>what is the average performance score ?</t>
  </si>
  <si>
    <t>Mark the persons with more than 5 yrs of experience as senior and vice versa ?</t>
  </si>
  <si>
    <r>
      <t xml:space="preserve">Are there any patterns in the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 sequence that relate to the other variables ?</t>
    </r>
  </si>
  <si>
    <t>Are there any null values ?</t>
  </si>
  <si>
    <t>high experience</t>
  </si>
  <si>
    <t>Mentioned in the table</t>
  </si>
  <si>
    <t>the senior and junior have the same performance score of maximum 97 and minimum of 55</t>
  </si>
  <si>
    <t>The relationship between senior &amp; junior performance score</t>
  </si>
  <si>
    <t>no patterns are found</t>
  </si>
  <si>
    <t>no null values</t>
  </si>
  <si>
    <t>what is the median of salary pay ?</t>
  </si>
  <si>
    <t>All the employees with high seniority level are &gt;= 30 yrs of age , the employees have monthly salary greater than 30K and performance score is greater than 50 .</t>
  </si>
  <si>
    <t>For the employees with junior level &gt;=22 yrs of age , have monthly salary from 25K to 87K and have the performance score similar to senior level .</t>
  </si>
  <si>
    <t>what is the variance of population ?</t>
  </si>
  <si>
    <t>what is the standard dev of population?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</si>
</sst>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380F5-25FC-43F4-8B97-2F1C0E6A597E}" name="Table2" displayName="Table2" ref="A1:G51" totalsRowShown="0">
  <autoFilter ref="A1:G51" xr:uid="{49C380F5-25FC-43F4-8B97-2F1C0E6A597E}">
    <filterColumn colId="6">
      <filters>
        <filter val="Junior"/>
      </filters>
    </filterColumn>
  </autoFilter>
  <sortState xmlns:xlrd2="http://schemas.microsoft.com/office/spreadsheetml/2017/richdata2" ref="A2:G51">
    <sortCondition ref="F1:F51"/>
  </sortState>
  <tableColumns count="7">
    <tableColumn id="1" xr3:uid="{BC476FD3-8154-46A5-AB3D-DABED4124E49}" name="EmployeeID"/>
    <tableColumn id="2" xr3:uid="{DFE45732-C059-446A-BA2D-BF372CE2A842}" name="Age"/>
    <tableColumn id="3" xr3:uid="{B4C610FB-04C2-423D-8984-504F494A6939}" name="ExperienceYears"/>
    <tableColumn id="4" xr3:uid="{BCCE8640-96A6-4780-879E-A5FD50C2D42D}" name="MonthlySalary"/>
    <tableColumn id="5" xr3:uid="{848C3D2A-6E79-4B52-B28A-BF072DCDC9DA}" name="TrainingHours"/>
    <tableColumn id="6" xr3:uid="{A1316458-C23F-48C6-9CB8-1EF0804B89A0}" name="PerformanceScore"/>
    <tableColumn id="7" xr3:uid="{874AD604-7710-494F-A5A6-CB1D533B14F5}" name="high experience" dataDxfId="0">
      <calculatedColumnFormula>IF(Table2[[#This Row],[ExperienceYears]]&gt;5,"Senior","Junior")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67" zoomScaleNormal="100" workbookViewId="0">
      <selection activeCell="O11" sqref="O11"/>
    </sheetView>
  </sheetViews>
  <sheetFormatPr defaultRowHeight="14.5" x14ac:dyDescent="0.35"/>
  <cols>
    <col min="1" max="1" width="12.81640625" customWidth="1"/>
    <col min="3" max="3" width="16.453125" customWidth="1"/>
    <col min="4" max="4" width="16.26953125" customWidth="1"/>
    <col min="5" max="5" width="15.90625" customWidth="1"/>
    <col min="6" max="6" width="18.1796875" customWidth="1"/>
    <col min="7" max="8" width="17" customWidth="1"/>
    <col min="9" max="9" width="9.81640625" bestFit="1" customWidth="1"/>
    <col min="11" max="11" width="11.81640625" bestFit="1" customWidth="1"/>
    <col min="21" max="21" width="10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71</v>
      </c>
      <c r="H1" s="1"/>
    </row>
    <row r="2" spans="1:8" x14ac:dyDescent="0.35">
      <c r="A2" t="s">
        <v>54</v>
      </c>
      <c r="B2">
        <v>22</v>
      </c>
      <c r="C2">
        <v>0</v>
      </c>
      <c r="D2">
        <v>63564</v>
      </c>
      <c r="E2">
        <v>19</v>
      </c>
      <c r="F2">
        <v>55</v>
      </c>
      <c r="G2" t="str">
        <f>IF(Table2[[#This Row],[ExperienceYears]]&gt;5,"Senior","Junior")</f>
        <v>Junior</v>
      </c>
    </row>
    <row r="3" spans="1:8" x14ac:dyDescent="0.35">
      <c r="A3" t="s">
        <v>55</v>
      </c>
      <c r="B3">
        <v>24</v>
      </c>
      <c r="C3">
        <v>0</v>
      </c>
      <c r="D3">
        <v>40003</v>
      </c>
      <c r="E3">
        <v>9</v>
      </c>
      <c r="F3">
        <v>57</v>
      </c>
      <c r="G3" t="str">
        <f>IF(Table2[[#This Row],[ExperienceYears]]&gt;5,"Senior","Junior")</f>
        <v>Junior</v>
      </c>
    </row>
    <row r="4" spans="1:8" hidden="1" x14ac:dyDescent="0.35">
      <c r="A4" t="s">
        <v>8</v>
      </c>
      <c r="B4">
        <v>43</v>
      </c>
      <c r="C4">
        <v>17</v>
      </c>
      <c r="D4">
        <v>30697</v>
      </c>
      <c r="E4">
        <v>42</v>
      </c>
      <c r="F4">
        <v>82</v>
      </c>
      <c r="G4" t="str">
        <f>IF(Table2[[#This Row],[ExperienceYears]]&gt;5,"Senior","Junior")</f>
        <v>Senior</v>
      </c>
    </row>
    <row r="5" spans="1:8" x14ac:dyDescent="0.35">
      <c r="A5" t="s">
        <v>46</v>
      </c>
      <c r="B5">
        <v>29</v>
      </c>
      <c r="C5">
        <v>0</v>
      </c>
      <c r="D5">
        <v>40785</v>
      </c>
      <c r="E5">
        <v>41</v>
      </c>
      <c r="F5">
        <v>60</v>
      </c>
      <c r="G5" t="str">
        <f>IF(Table2[[#This Row],[ExperienceYears]]&gt;5,"Senior","Junior")</f>
        <v>Junior</v>
      </c>
    </row>
    <row r="6" spans="1:8" x14ac:dyDescent="0.35">
      <c r="A6" t="s">
        <v>7</v>
      </c>
      <c r="B6">
        <v>29</v>
      </c>
      <c r="C6">
        <v>3</v>
      </c>
      <c r="D6">
        <v>34144</v>
      </c>
      <c r="E6">
        <v>52</v>
      </c>
      <c r="F6">
        <v>61</v>
      </c>
      <c r="G6" t="str">
        <f>IF(Table2[[#This Row],[ExperienceYears]]&gt;5,"Senior","Junior")</f>
        <v>Junior</v>
      </c>
    </row>
    <row r="7" spans="1:8" hidden="1" x14ac:dyDescent="0.35">
      <c r="A7" t="s">
        <v>11</v>
      </c>
      <c r="B7">
        <v>44</v>
      </c>
      <c r="C7">
        <v>17</v>
      </c>
      <c r="D7">
        <v>52493</v>
      </c>
      <c r="E7">
        <v>19</v>
      </c>
      <c r="F7">
        <v>83</v>
      </c>
      <c r="G7" t="str">
        <f>IF(Table2[[#This Row],[ExperienceYears]]&gt;5,"Senior","Junior")</f>
        <v>Senior</v>
      </c>
    </row>
    <row r="8" spans="1:8" hidden="1" x14ac:dyDescent="0.35">
      <c r="A8" t="s">
        <v>12</v>
      </c>
      <c r="B8">
        <v>40</v>
      </c>
      <c r="C8">
        <v>8</v>
      </c>
      <c r="D8">
        <v>78046</v>
      </c>
      <c r="E8">
        <v>60</v>
      </c>
      <c r="F8">
        <v>55</v>
      </c>
      <c r="G8" t="str">
        <f>IF(Table2[[#This Row],[ExperienceYears]]&gt;5,"Senior","Junior")</f>
        <v>Senior</v>
      </c>
    </row>
    <row r="9" spans="1:8" x14ac:dyDescent="0.35">
      <c r="A9" t="s">
        <v>34</v>
      </c>
      <c r="B9">
        <v>24</v>
      </c>
      <c r="C9">
        <v>0</v>
      </c>
      <c r="D9">
        <v>81433</v>
      </c>
      <c r="E9">
        <v>12</v>
      </c>
      <c r="F9">
        <v>64</v>
      </c>
      <c r="G9" t="str">
        <f>IF(Table2[[#This Row],[ExperienceYears]]&gt;5,"Senior","Junior")</f>
        <v>Junior</v>
      </c>
    </row>
    <row r="10" spans="1:8" x14ac:dyDescent="0.35">
      <c r="A10" t="s">
        <v>24</v>
      </c>
      <c r="B10">
        <v>30</v>
      </c>
      <c r="C10">
        <v>1</v>
      </c>
      <c r="D10">
        <v>64920</v>
      </c>
      <c r="E10">
        <v>45</v>
      </c>
      <c r="F10">
        <v>65</v>
      </c>
      <c r="G10" t="str">
        <f>IF(Table2[[#This Row],[ExperienceYears]]&gt;5,"Senior","Junior")</f>
        <v>Junior</v>
      </c>
    </row>
    <row r="11" spans="1:8" x14ac:dyDescent="0.35">
      <c r="A11" t="s">
        <v>50</v>
      </c>
      <c r="B11">
        <v>35</v>
      </c>
      <c r="C11">
        <v>3</v>
      </c>
      <c r="D11">
        <v>85877</v>
      </c>
      <c r="E11">
        <v>39</v>
      </c>
      <c r="F11">
        <v>67</v>
      </c>
      <c r="G11" t="str">
        <f>IF(Table2[[#This Row],[ExperienceYears]]&gt;5,"Senior","Junior")</f>
        <v>Junior</v>
      </c>
    </row>
    <row r="12" spans="1:8" hidden="1" x14ac:dyDescent="0.35">
      <c r="A12" t="s">
        <v>16</v>
      </c>
      <c r="B12">
        <v>33</v>
      </c>
      <c r="C12">
        <v>9</v>
      </c>
      <c r="D12">
        <v>42335</v>
      </c>
      <c r="E12">
        <v>56</v>
      </c>
      <c r="F12">
        <v>57</v>
      </c>
      <c r="G12" t="str">
        <f>IF(Table2[[#This Row],[ExperienceYears]]&gt;5,"Senior","Junior")</f>
        <v>Senior</v>
      </c>
    </row>
    <row r="13" spans="1:8" hidden="1" x14ac:dyDescent="0.35">
      <c r="A13" t="s">
        <v>17</v>
      </c>
      <c r="B13">
        <v>45</v>
      </c>
      <c r="C13">
        <v>14</v>
      </c>
      <c r="D13">
        <v>60142</v>
      </c>
      <c r="E13">
        <v>12</v>
      </c>
      <c r="F13">
        <v>79</v>
      </c>
      <c r="G13" t="str">
        <f>IF(Table2[[#This Row],[ExperienceYears]]&gt;5,"Senior","Junior")</f>
        <v>Senior</v>
      </c>
    </row>
    <row r="14" spans="1:8" x14ac:dyDescent="0.35">
      <c r="A14" t="s">
        <v>9</v>
      </c>
      <c r="B14">
        <v>23</v>
      </c>
      <c r="C14">
        <v>0</v>
      </c>
      <c r="D14">
        <v>31140</v>
      </c>
      <c r="E14">
        <v>18</v>
      </c>
      <c r="F14">
        <v>69</v>
      </c>
      <c r="G14" t="str">
        <f>IF(Table2[[#This Row],[ExperienceYears]]&gt;5,"Senior","Junior")</f>
        <v>Junior</v>
      </c>
    </row>
    <row r="15" spans="1:8" hidden="1" x14ac:dyDescent="0.35">
      <c r="A15" t="s">
        <v>19</v>
      </c>
      <c r="B15">
        <v>33</v>
      </c>
      <c r="C15">
        <v>9</v>
      </c>
      <c r="D15">
        <v>37601</v>
      </c>
      <c r="E15">
        <v>50</v>
      </c>
      <c r="F15">
        <v>59</v>
      </c>
      <c r="G15" t="str">
        <f>IF(Table2[[#This Row],[ExperienceYears]]&gt;5,"Senior","Junior")</f>
        <v>Senior</v>
      </c>
    </row>
    <row r="16" spans="1:8" x14ac:dyDescent="0.35">
      <c r="A16" t="s">
        <v>40</v>
      </c>
      <c r="B16">
        <v>27</v>
      </c>
      <c r="C16">
        <v>3</v>
      </c>
      <c r="D16">
        <v>25212</v>
      </c>
      <c r="E16">
        <v>51</v>
      </c>
      <c r="F16">
        <v>71</v>
      </c>
      <c r="G16" t="str">
        <f>IF(Table2[[#This Row],[ExperienceYears]]&gt;5,"Senior","Junior")</f>
        <v>Junior</v>
      </c>
    </row>
    <row r="17" spans="1:7" x14ac:dyDescent="0.35">
      <c r="A17" t="s">
        <v>13</v>
      </c>
      <c r="B17">
        <v>27</v>
      </c>
      <c r="C17">
        <v>5</v>
      </c>
      <c r="D17">
        <v>52696</v>
      </c>
      <c r="E17">
        <v>26</v>
      </c>
      <c r="F17">
        <v>72</v>
      </c>
      <c r="G17" t="str">
        <f>IF(Table2[[#This Row],[ExperienceYears]]&gt;5,"Senior","Junior")</f>
        <v>Junior</v>
      </c>
    </row>
    <row r="18" spans="1:7" hidden="1" x14ac:dyDescent="0.35">
      <c r="A18" t="s">
        <v>22</v>
      </c>
      <c r="B18">
        <v>30</v>
      </c>
      <c r="C18">
        <v>7</v>
      </c>
      <c r="D18">
        <v>66660</v>
      </c>
      <c r="E18">
        <v>58</v>
      </c>
      <c r="F18">
        <v>78</v>
      </c>
      <c r="G18" t="str">
        <f>IF(Table2[[#This Row],[ExperienceYears]]&gt;5,"Senior","Junior")</f>
        <v>Senior</v>
      </c>
    </row>
    <row r="19" spans="1:7" x14ac:dyDescent="0.35">
      <c r="A19" t="s">
        <v>6</v>
      </c>
      <c r="B19">
        <v>42</v>
      </c>
      <c r="C19">
        <v>3</v>
      </c>
      <c r="D19">
        <v>26639</v>
      </c>
      <c r="E19">
        <v>52</v>
      </c>
      <c r="F19">
        <v>72</v>
      </c>
      <c r="G19" t="str">
        <f>IF(Table2[[#This Row],[ExperienceYears]]&gt;5,"Senior","Junior")</f>
        <v>Junior</v>
      </c>
    </row>
    <row r="20" spans="1:7" x14ac:dyDescent="0.35">
      <c r="A20" t="s">
        <v>38</v>
      </c>
      <c r="B20">
        <v>43</v>
      </c>
      <c r="C20">
        <v>3</v>
      </c>
      <c r="D20">
        <v>69676</v>
      </c>
      <c r="E20">
        <v>39</v>
      </c>
      <c r="F20">
        <v>72</v>
      </c>
      <c r="G20" t="str">
        <f>IF(Table2[[#This Row],[ExperienceYears]]&gt;5,"Senior","Junior")</f>
        <v>Junior</v>
      </c>
    </row>
    <row r="21" spans="1:7" hidden="1" x14ac:dyDescent="0.35">
      <c r="A21" t="s">
        <v>25</v>
      </c>
      <c r="B21">
        <v>39</v>
      </c>
      <c r="C21">
        <v>7</v>
      </c>
      <c r="D21">
        <v>35708</v>
      </c>
      <c r="E21">
        <v>34</v>
      </c>
      <c r="F21">
        <v>79</v>
      </c>
      <c r="G21" t="str">
        <f>IF(Table2[[#This Row],[ExperienceYears]]&gt;5,"Senior","Junior")</f>
        <v>Senior</v>
      </c>
    </row>
    <row r="22" spans="1:7" hidden="1" x14ac:dyDescent="0.35">
      <c r="A22" t="s">
        <v>26</v>
      </c>
      <c r="B22">
        <v>30</v>
      </c>
      <c r="C22">
        <v>8</v>
      </c>
      <c r="D22">
        <v>39392</v>
      </c>
      <c r="E22">
        <v>48</v>
      </c>
      <c r="F22">
        <v>75</v>
      </c>
      <c r="G22" t="str">
        <f>IF(Table2[[#This Row],[ExperienceYears]]&gt;5,"Senior","Junior")</f>
        <v>Senior</v>
      </c>
    </row>
    <row r="23" spans="1:7" x14ac:dyDescent="0.35">
      <c r="A23" t="s">
        <v>20</v>
      </c>
      <c r="B23">
        <v>23</v>
      </c>
      <c r="C23">
        <v>2</v>
      </c>
      <c r="D23">
        <v>39935</v>
      </c>
      <c r="E23">
        <v>54</v>
      </c>
      <c r="F23">
        <v>73</v>
      </c>
      <c r="G23" t="str">
        <f>IF(Table2[[#This Row],[ExperienceYears]]&gt;5,"Senior","Junior")</f>
        <v>Junior</v>
      </c>
    </row>
    <row r="24" spans="1:7" x14ac:dyDescent="0.35">
      <c r="A24" t="s">
        <v>45</v>
      </c>
      <c r="B24">
        <v>22</v>
      </c>
      <c r="C24">
        <v>0</v>
      </c>
      <c r="D24">
        <v>85889</v>
      </c>
      <c r="E24">
        <v>28</v>
      </c>
      <c r="F24">
        <v>74</v>
      </c>
      <c r="G24" t="str">
        <f>IF(Table2[[#This Row],[ExperienceYears]]&gt;5,"Senior","Junior")</f>
        <v>Junior</v>
      </c>
    </row>
    <row r="25" spans="1:7" hidden="1" x14ac:dyDescent="0.35">
      <c r="A25" t="s">
        <v>29</v>
      </c>
      <c r="B25">
        <v>44</v>
      </c>
      <c r="C25">
        <v>10</v>
      </c>
      <c r="D25">
        <v>38934</v>
      </c>
      <c r="E25">
        <v>46</v>
      </c>
      <c r="F25">
        <v>86</v>
      </c>
      <c r="G25" t="str">
        <f>IF(Table2[[#This Row],[ExperienceYears]]&gt;5,"Senior","Junior")</f>
        <v>Senior</v>
      </c>
    </row>
    <row r="26" spans="1:7" hidden="1" x14ac:dyDescent="0.35">
      <c r="A26" t="s">
        <v>30</v>
      </c>
      <c r="B26">
        <v>34</v>
      </c>
      <c r="C26">
        <v>10</v>
      </c>
      <c r="D26">
        <v>55071</v>
      </c>
      <c r="E26">
        <v>14</v>
      </c>
      <c r="F26">
        <v>71</v>
      </c>
      <c r="G26" t="str">
        <f>IF(Table2[[#This Row],[ExperienceYears]]&gt;5,"Senior","Junior")</f>
        <v>Senior</v>
      </c>
    </row>
    <row r="27" spans="1:7" x14ac:dyDescent="0.35">
      <c r="A27" t="s">
        <v>27</v>
      </c>
      <c r="B27">
        <v>23</v>
      </c>
      <c r="C27">
        <v>0</v>
      </c>
      <c r="D27">
        <v>78857</v>
      </c>
      <c r="E27">
        <v>7</v>
      </c>
      <c r="F27">
        <v>75</v>
      </c>
      <c r="G27" t="str">
        <f>IF(Table2[[#This Row],[ExperienceYears]]&gt;5,"Senior","Junior")</f>
        <v>Junior</v>
      </c>
    </row>
    <row r="28" spans="1:7" hidden="1" x14ac:dyDescent="0.35">
      <c r="A28" t="s">
        <v>32</v>
      </c>
      <c r="B28">
        <v>30</v>
      </c>
      <c r="C28">
        <v>9</v>
      </c>
      <c r="D28">
        <v>53077</v>
      </c>
      <c r="E28">
        <v>42</v>
      </c>
      <c r="F28">
        <v>80</v>
      </c>
      <c r="G28" t="str">
        <f>IF(Table2[[#This Row],[ExperienceYears]]&gt;5,"Senior","Junior")</f>
        <v>Senior</v>
      </c>
    </row>
    <row r="29" spans="1:7" x14ac:dyDescent="0.35">
      <c r="A29" t="s">
        <v>53</v>
      </c>
      <c r="B29">
        <v>25</v>
      </c>
      <c r="C29">
        <v>1</v>
      </c>
      <c r="D29">
        <v>39725</v>
      </c>
      <c r="E29">
        <v>9</v>
      </c>
      <c r="F29">
        <v>76</v>
      </c>
      <c r="G29" t="str">
        <f>IF(Table2[[#This Row],[ExperienceYears]]&gt;5,"Senior","Junior")</f>
        <v>Junior</v>
      </c>
    </row>
    <row r="30" spans="1:7" x14ac:dyDescent="0.35">
      <c r="A30" t="s">
        <v>14</v>
      </c>
      <c r="B30">
        <v>26</v>
      </c>
      <c r="C30">
        <v>1</v>
      </c>
      <c r="D30">
        <v>87731</v>
      </c>
      <c r="E30">
        <v>53</v>
      </c>
      <c r="F30">
        <v>76</v>
      </c>
      <c r="G30" t="str">
        <f>IF(Table2[[#This Row],[ExperienceYears]]&gt;5,"Senior","Junior")</f>
        <v>Junior</v>
      </c>
    </row>
    <row r="31" spans="1:7" x14ac:dyDescent="0.35">
      <c r="A31" t="s">
        <v>15</v>
      </c>
      <c r="B31">
        <v>25</v>
      </c>
      <c r="C31">
        <v>0</v>
      </c>
      <c r="D31">
        <v>49898</v>
      </c>
      <c r="E31">
        <v>11</v>
      </c>
      <c r="F31">
        <v>77</v>
      </c>
      <c r="G31" t="str">
        <f>IF(Table2[[#This Row],[ExperienceYears]]&gt;5,"Senior","Junior")</f>
        <v>Junior</v>
      </c>
    </row>
    <row r="32" spans="1:7" x14ac:dyDescent="0.35">
      <c r="A32" t="s">
        <v>21</v>
      </c>
      <c r="B32">
        <v>24</v>
      </c>
      <c r="C32">
        <v>1</v>
      </c>
      <c r="D32">
        <v>81785</v>
      </c>
      <c r="E32">
        <v>11</v>
      </c>
      <c r="F32">
        <v>79</v>
      </c>
      <c r="G32" t="str">
        <f>IF(Table2[[#This Row],[ExperienceYears]]&gt;5,"Senior","Junior")</f>
        <v>Junior</v>
      </c>
    </row>
    <row r="33" spans="1:7" hidden="1" x14ac:dyDescent="0.35">
      <c r="A33" t="s">
        <v>37</v>
      </c>
      <c r="B33">
        <v>36</v>
      </c>
      <c r="C33">
        <v>8</v>
      </c>
      <c r="D33">
        <v>88640</v>
      </c>
      <c r="E33">
        <v>40</v>
      </c>
      <c r="F33">
        <v>55</v>
      </c>
      <c r="G33" t="str">
        <f>IF(Table2[[#This Row],[ExperienceYears]]&gt;5,"Senior","Junior")</f>
        <v>Senior</v>
      </c>
    </row>
    <row r="34" spans="1:7" x14ac:dyDescent="0.35">
      <c r="A34" t="s">
        <v>35</v>
      </c>
      <c r="B34">
        <v>42</v>
      </c>
      <c r="C34">
        <v>5</v>
      </c>
      <c r="D34">
        <v>76909</v>
      </c>
      <c r="E34">
        <v>48</v>
      </c>
      <c r="F34">
        <v>82</v>
      </c>
      <c r="G34" t="str">
        <f>IF(Table2[[#This Row],[ExperienceYears]]&gt;5,"Senior","Junior")</f>
        <v>Junior</v>
      </c>
    </row>
    <row r="35" spans="1:7" hidden="1" x14ac:dyDescent="0.35">
      <c r="A35" t="s">
        <v>39</v>
      </c>
      <c r="B35">
        <v>42</v>
      </c>
      <c r="C35">
        <v>10</v>
      </c>
      <c r="D35">
        <v>32310</v>
      </c>
      <c r="E35">
        <v>23</v>
      </c>
      <c r="F35">
        <v>82</v>
      </c>
      <c r="G35" t="str">
        <f>IF(Table2[[#This Row],[ExperienceYears]]&gt;5,"Senior","Junior")</f>
        <v>Senior</v>
      </c>
    </row>
    <row r="36" spans="1:7" x14ac:dyDescent="0.35">
      <c r="A36" t="s">
        <v>33</v>
      </c>
      <c r="B36">
        <v>33</v>
      </c>
      <c r="C36">
        <v>3</v>
      </c>
      <c r="D36">
        <v>34065</v>
      </c>
      <c r="E36">
        <v>37</v>
      </c>
      <c r="F36">
        <v>86</v>
      </c>
      <c r="G36" t="str">
        <f>IF(Table2[[#This Row],[ExperienceYears]]&gt;5,"Senior","Junior")</f>
        <v>Junior</v>
      </c>
    </row>
    <row r="37" spans="1:7" x14ac:dyDescent="0.35">
      <c r="A37" t="s">
        <v>44</v>
      </c>
      <c r="B37">
        <v>38</v>
      </c>
      <c r="C37">
        <v>0</v>
      </c>
      <c r="D37">
        <v>64252</v>
      </c>
      <c r="E37">
        <v>25</v>
      </c>
      <c r="F37">
        <v>86</v>
      </c>
      <c r="G37" t="str">
        <f>IF(Table2[[#This Row],[ExperienceYears]]&gt;5,"Senior","Junior")</f>
        <v>Junior</v>
      </c>
    </row>
    <row r="38" spans="1:7" hidden="1" x14ac:dyDescent="0.35">
      <c r="A38" t="s">
        <v>42</v>
      </c>
      <c r="B38">
        <v>31</v>
      </c>
      <c r="C38">
        <v>10</v>
      </c>
      <c r="D38">
        <v>58270</v>
      </c>
      <c r="E38">
        <v>43</v>
      </c>
      <c r="F38">
        <v>67</v>
      </c>
      <c r="G38" t="str">
        <f>IF(Table2[[#This Row],[ExperienceYears]]&gt;5,"Senior","Junior")</f>
        <v>Senior</v>
      </c>
    </row>
    <row r="39" spans="1:7" x14ac:dyDescent="0.35">
      <c r="A39" t="s">
        <v>47</v>
      </c>
      <c r="B39">
        <v>24</v>
      </c>
      <c r="C39">
        <v>3</v>
      </c>
      <c r="D39">
        <v>78478</v>
      </c>
      <c r="E39">
        <v>9</v>
      </c>
      <c r="F39">
        <v>89</v>
      </c>
      <c r="G39" t="str">
        <f>IF(Table2[[#This Row],[ExperienceYears]]&gt;5,"Senior","Junior")</f>
        <v>Junior</v>
      </c>
    </row>
    <row r="40" spans="1:7" x14ac:dyDescent="0.35">
      <c r="A40" t="s">
        <v>31</v>
      </c>
      <c r="B40">
        <v>26</v>
      </c>
      <c r="C40">
        <v>1</v>
      </c>
      <c r="D40">
        <v>73823</v>
      </c>
      <c r="E40">
        <v>40</v>
      </c>
      <c r="F40">
        <v>89</v>
      </c>
      <c r="G40" t="str">
        <f>IF(Table2[[#This Row],[ExperienceYears]]&gt;5,"Senior","Junior")</f>
        <v>Junior</v>
      </c>
    </row>
    <row r="41" spans="1:7" x14ac:dyDescent="0.35">
      <c r="A41" t="s">
        <v>43</v>
      </c>
      <c r="B41">
        <v>26</v>
      </c>
      <c r="C41">
        <v>2</v>
      </c>
      <c r="D41">
        <v>74971</v>
      </c>
      <c r="E41">
        <v>15</v>
      </c>
      <c r="F41">
        <v>89</v>
      </c>
      <c r="G41" t="str">
        <f>IF(Table2[[#This Row],[ExperienceYears]]&gt;5,"Senior","Junior")</f>
        <v>Junior</v>
      </c>
    </row>
    <row r="42" spans="1:7" x14ac:dyDescent="0.35">
      <c r="A42" t="s">
        <v>48</v>
      </c>
      <c r="B42">
        <v>26</v>
      </c>
      <c r="C42">
        <v>1</v>
      </c>
      <c r="D42">
        <v>68237</v>
      </c>
      <c r="E42">
        <v>35</v>
      </c>
      <c r="F42">
        <v>90</v>
      </c>
      <c r="G42" t="str">
        <f>IF(Table2[[#This Row],[ExperienceYears]]&gt;5,"Senior","Junior")</f>
        <v>Junior</v>
      </c>
    </row>
    <row r="43" spans="1:7" x14ac:dyDescent="0.35">
      <c r="A43" t="s">
        <v>28</v>
      </c>
      <c r="B43">
        <v>34</v>
      </c>
      <c r="C43">
        <v>4</v>
      </c>
      <c r="D43">
        <v>29337</v>
      </c>
      <c r="E43">
        <v>18</v>
      </c>
      <c r="F43">
        <v>91</v>
      </c>
      <c r="G43" t="str">
        <f>IF(Table2[[#This Row],[ExperienceYears]]&gt;5,"Senior","Junior")</f>
        <v>Junior</v>
      </c>
    </row>
    <row r="44" spans="1:7" x14ac:dyDescent="0.35">
      <c r="A44" t="s">
        <v>49</v>
      </c>
      <c r="B44">
        <v>27</v>
      </c>
      <c r="C44">
        <v>2</v>
      </c>
      <c r="D44">
        <v>59581</v>
      </c>
      <c r="E44">
        <v>60</v>
      </c>
      <c r="F44">
        <v>93</v>
      </c>
      <c r="G44" t="str">
        <f>IF(Table2[[#This Row],[ExperienceYears]]&gt;5,"Senior","Junior")</f>
        <v>Junior</v>
      </c>
    </row>
    <row r="45" spans="1:7" x14ac:dyDescent="0.35">
      <c r="A45" t="s">
        <v>36</v>
      </c>
      <c r="B45">
        <v>41</v>
      </c>
      <c r="C45">
        <v>2</v>
      </c>
      <c r="D45">
        <v>50216</v>
      </c>
      <c r="E45">
        <v>29</v>
      </c>
      <c r="F45">
        <v>93</v>
      </c>
      <c r="G45" t="str">
        <f>IF(Table2[[#This Row],[ExperienceYears]]&gt;5,"Senior","Junior")</f>
        <v>Junior</v>
      </c>
    </row>
    <row r="46" spans="1:7" x14ac:dyDescent="0.35">
      <c r="A46" t="s">
        <v>18</v>
      </c>
      <c r="B46">
        <v>24</v>
      </c>
      <c r="C46">
        <v>2</v>
      </c>
      <c r="D46">
        <v>79355</v>
      </c>
      <c r="E46">
        <v>45</v>
      </c>
      <c r="F46">
        <v>94</v>
      </c>
      <c r="G46" t="str">
        <f>IF(Table2[[#This Row],[ExperienceYears]]&gt;5,"Senior","Junior")</f>
        <v>Junior</v>
      </c>
    </row>
    <row r="47" spans="1:7" hidden="1" x14ac:dyDescent="0.35">
      <c r="A47" t="s">
        <v>51</v>
      </c>
      <c r="B47">
        <v>44</v>
      </c>
      <c r="C47">
        <v>9</v>
      </c>
      <c r="D47">
        <v>51148</v>
      </c>
      <c r="E47">
        <v>47</v>
      </c>
      <c r="F47">
        <v>96</v>
      </c>
      <c r="G47" t="str">
        <f>IF(Table2[[#This Row],[ExperienceYears]]&gt;5,"Senior","Junior")</f>
        <v>Senior</v>
      </c>
    </row>
    <row r="48" spans="1:7" hidden="1" x14ac:dyDescent="0.35">
      <c r="A48" t="s">
        <v>52</v>
      </c>
      <c r="B48">
        <v>33</v>
      </c>
      <c r="C48">
        <v>7</v>
      </c>
      <c r="D48">
        <v>83957</v>
      </c>
      <c r="E48">
        <v>38</v>
      </c>
      <c r="F48">
        <v>83</v>
      </c>
      <c r="G48" t="str">
        <f>IF(Table2[[#This Row],[ExperienceYears]]&gt;5,"Senior","Junior")</f>
        <v>Senior</v>
      </c>
    </row>
    <row r="49" spans="1:7" x14ac:dyDescent="0.35">
      <c r="A49" t="s">
        <v>41</v>
      </c>
      <c r="B49">
        <v>38</v>
      </c>
      <c r="C49">
        <v>5</v>
      </c>
      <c r="D49">
        <v>58271</v>
      </c>
      <c r="E49">
        <v>11</v>
      </c>
      <c r="F49">
        <v>95</v>
      </c>
      <c r="G49" t="str">
        <f>IF(Table2[[#This Row],[ExperienceYears]]&gt;5,"Senior","Junior")</f>
        <v>Junior</v>
      </c>
    </row>
    <row r="50" spans="1:7" x14ac:dyDescent="0.35">
      <c r="A50" t="s">
        <v>10</v>
      </c>
      <c r="B50">
        <v>38</v>
      </c>
      <c r="C50">
        <v>0</v>
      </c>
      <c r="D50">
        <v>61781</v>
      </c>
      <c r="E50">
        <v>17</v>
      </c>
      <c r="F50">
        <v>96</v>
      </c>
      <c r="G50" t="str">
        <f>IF(Table2[[#This Row],[ExperienceYears]]&gt;5,"Senior","Junior")</f>
        <v>Junior</v>
      </c>
    </row>
    <row r="51" spans="1:7" x14ac:dyDescent="0.35">
      <c r="A51" t="s">
        <v>23</v>
      </c>
      <c r="B51">
        <v>27</v>
      </c>
      <c r="C51">
        <v>2</v>
      </c>
      <c r="D51">
        <v>48283</v>
      </c>
      <c r="E51">
        <v>18</v>
      </c>
      <c r="F51">
        <v>97</v>
      </c>
      <c r="G51" t="str">
        <f>IF(Table2[[#This Row],[ExperienceYears]]&gt;5,"Senior","Junior")</f>
        <v>Junior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28C1-24D9-4EF1-B244-57A701A87823}">
  <dimension ref="A1:G22"/>
  <sheetViews>
    <sheetView zoomScale="76" zoomScaleNormal="76" workbookViewId="0">
      <selection activeCell="A25" sqref="A25"/>
    </sheetView>
  </sheetViews>
  <sheetFormatPr defaultRowHeight="14.5" x14ac:dyDescent="0.35"/>
  <cols>
    <col min="1" max="1" width="73.6328125" bestFit="1" customWidth="1"/>
    <col min="2" max="2" width="138" style="3" bestFit="1" customWidth="1"/>
  </cols>
  <sheetData>
    <row r="1" spans="1:7" x14ac:dyDescent="0.35">
      <c r="A1" t="s">
        <v>77</v>
      </c>
      <c r="B1" s="3">
        <f>MEDIAN(Table2[MonthlySalary])</f>
        <v>56670.5</v>
      </c>
    </row>
    <row r="2" spans="1:7" x14ac:dyDescent="0.35">
      <c r="A2" t="s">
        <v>56</v>
      </c>
      <c r="B2" s="3">
        <f>COUNTA(Table2[EmployeeID])</f>
        <v>50</v>
      </c>
    </row>
    <row r="3" spans="1:7" x14ac:dyDescent="0.35">
      <c r="A3" t="s">
        <v>57</v>
      </c>
      <c r="B3" s="3">
        <f>MAX(Table2[ExperienceYears])</f>
        <v>17</v>
      </c>
      <c r="G3" s="2"/>
    </row>
    <row r="4" spans="1:7" x14ac:dyDescent="0.35">
      <c r="A4" t="s">
        <v>58</v>
      </c>
      <c r="B4" s="3">
        <f>MIN(Table2[ExperienceYears])</f>
        <v>0</v>
      </c>
    </row>
    <row r="5" spans="1:7" x14ac:dyDescent="0.35">
      <c r="A5" t="s">
        <v>59</v>
      </c>
      <c r="B5" s="3">
        <f>AVERAGE(Table2[MonthlySalary])</f>
        <v>56838.98</v>
      </c>
    </row>
    <row r="6" spans="1:7" x14ac:dyDescent="0.35">
      <c r="A6" t="s">
        <v>60</v>
      </c>
      <c r="B6" s="3">
        <f>MAX(Table2[MonthlySalary])</f>
        <v>88640</v>
      </c>
    </row>
    <row r="7" spans="1:7" x14ac:dyDescent="0.35">
      <c r="A7" t="s">
        <v>61</v>
      </c>
      <c r="B7" s="3">
        <f>MIN(Table2[MonthlySalary])</f>
        <v>25212</v>
      </c>
    </row>
    <row r="8" spans="1:7" x14ac:dyDescent="0.35">
      <c r="A8" t="s">
        <v>62</v>
      </c>
      <c r="B8" s="3">
        <f>MAX(Table2[TrainingHours])</f>
        <v>60</v>
      </c>
    </row>
    <row r="9" spans="1:7" x14ac:dyDescent="0.35">
      <c r="A9" t="s">
        <v>63</v>
      </c>
      <c r="B9" s="3">
        <f>MIN(Table2[TrainingHours])</f>
        <v>7</v>
      </c>
    </row>
    <row r="10" spans="1:7" x14ac:dyDescent="0.35">
      <c r="A10" t="s">
        <v>64</v>
      </c>
      <c r="B10" s="3">
        <f>AVERAGE(Table2[TrainingHours])</f>
        <v>33.1</v>
      </c>
    </row>
    <row r="11" spans="1:7" x14ac:dyDescent="0.35">
      <c r="A11" t="s">
        <v>65</v>
      </c>
      <c r="B11" s="3">
        <f>MAX(Table2[PerformanceScore])</f>
        <v>97</v>
      </c>
    </row>
    <row r="12" spans="1:7" x14ac:dyDescent="0.35">
      <c r="A12" t="s">
        <v>66</v>
      </c>
      <c r="B12" s="3">
        <f>MIN(Table2[PerformanceScore])</f>
        <v>55</v>
      </c>
    </row>
    <row r="13" spans="1:7" x14ac:dyDescent="0.35">
      <c r="A13" t="s">
        <v>67</v>
      </c>
      <c r="B13" s="3">
        <f>AVERAGE(Table2[PerformanceScore])</f>
        <v>77.040000000000006</v>
      </c>
    </row>
    <row r="14" spans="1:7" x14ac:dyDescent="0.35">
      <c r="A14" t="s">
        <v>68</v>
      </c>
      <c r="B14" s="3" t="s">
        <v>72</v>
      </c>
    </row>
    <row r="15" spans="1:7" x14ac:dyDescent="0.35">
      <c r="A15" t="s">
        <v>69</v>
      </c>
      <c r="B15" s="3" t="s">
        <v>75</v>
      </c>
    </row>
    <row r="16" spans="1:7" x14ac:dyDescent="0.35">
      <c r="A16" t="s">
        <v>70</v>
      </c>
      <c r="B16" s="3" t="s">
        <v>76</v>
      </c>
    </row>
    <row r="17" spans="1:2" x14ac:dyDescent="0.35">
      <c r="A17" t="s">
        <v>74</v>
      </c>
      <c r="B17" s="3" t="s">
        <v>73</v>
      </c>
    </row>
    <row r="18" spans="1:2" x14ac:dyDescent="0.35">
      <c r="A18" t="s">
        <v>80</v>
      </c>
      <c r="B18" s="3">
        <f>_xlfn.VAR.P(Stats_Dataset!A2:G51)</f>
        <v>587518392.04462397</v>
      </c>
    </row>
    <row r="19" spans="1:2" x14ac:dyDescent="0.35">
      <c r="A19" t="s">
        <v>81</v>
      </c>
      <c r="B19" s="3">
        <f>_xlfn.STDEV.P(Table2[])</f>
        <v>24238.778683024109</v>
      </c>
    </row>
    <row r="21" spans="1:2" x14ac:dyDescent="0.35">
      <c r="B21" s="4" t="s">
        <v>78</v>
      </c>
    </row>
    <row r="22" spans="1:2" x14ac:dyDescent="0.35">
      <c r="B22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Stats_Dataset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Prudhvi Vinay</cp:lastModifiedBy>
  <dcterms:created xsi:type="dcterms:W3CDTF">2026-06-12T13:10:54Z</dcterms:created>
  <dcterms:modified xsi:type="dcterms:W3CDTF">2026-06-19T19:48:46Z</dcterms:modified>
</cp:coreProperties>
</file>